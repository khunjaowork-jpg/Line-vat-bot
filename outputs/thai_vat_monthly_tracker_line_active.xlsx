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ashboard" sheetId="1" state="visible" r:id="rId1"/>
    <sheet name="Transactions_12M" sheetId="2" state="visible" r:id="rId2"/>
    <sheet name="Revenue" sheetId="3" state="visible" r:id="rId3"/>
    <sheet name="Revenue_12M" sheetId="4" state="visible" r:id="rId4"/>
    <sheet name="Expenses" sheetId="5" state="visible" r:id="rId5"/>
    <sheet name="Expenses_12M" sheetId="6" state="visible" r:id="rId6"/>
    <sheet name="Monthly_VAT" sheetId="7" state="visible" r:id="rId7"/>
    <sheet name="Settings" sheetId="8" state="visible" r:id="rId8"/>
    <sheet name="Import_Log" sheetId="9" state="visible" r:id="rId9"/>
    <sheet name="Checks" sheetId="10" state="visible" r:id="rId10"/>
  </sheets>
  <definedNames/>
</workbook>
</file>

<file path=xl/styles.xml><?xml version="1.0" encoding="utf-8"?>
<styleSheet xmlns="http://schemas.openxmlformats.org/spreadsheetml/2006/main">
  <numFmts count="5">
    <numFmt numFmtId="164" formatCode="yyyy-mm-dd"/>
    <numFmt numFmtId="165" formatCode="#,##0.00;[Red](#,##0.00);-"/>
    <numFmt numFmtId="166" formatCode="yyyy-mm"/>
    <numFmt numFmtId="167" formatCode="mmm yyyy"/>
    <numFmt numFmtId="168" formatCode="yyyy-mm-dd hh:mm"/>
  </numFmts>
  <fonts count="12">
    <font>
      <name val="Carlito"/>
      <sz val="11"/>
    </font>
    <font>
      <name val="Carlito"/>
      <b val="1"/>
      <color rgb="FFFFFFFF"/>
      <sz val="16"/>
    </font>
    <font>
      <name val="Carlito"/>
      <b val="1"/>
      <color rgb="FFFFFFFF"/>
      <sz val="11"/>
    </font>
    <font>
      <name val="Carlito"/>
      <color rgb="FF000000"/>
      <sz val="11"/>
    </font>
    <font>
      <name val="Carlito"/>
      <color rgb="FF0000FF"/>
      <sz val="11"/>
    </font>
    <font>
      <name val="Carlito"/>
      <b val="1"/>
      <sz val="11"/>
    </font>
    <font>
      <name val="Carlito"/>
      <color rgb="FFFFFFFF"/>
      <sz val="11"/>
    </font>
    <font>
      <b val="1"/>
      <color rgb="00FFFFFF"/>
      <sz val="16"/>
    </font>
    <font>
      <b val="1"/>
      <color rgb="001F4E78"/>
    </font>
    <font>
      <b val="1"/>
      <color rgb="00FFFFFF"/>
    </font>
    <font>
      <b val="1"/>
    </font>
    <font>
      <b val="1"/>
      <color rgb="001F2937"/>
    </font>
  </fonts>
  <fills count="12">
    <fill>
      <patternFill/>
    </fill>
    <fill>
      <patternFill patternType="gray125"/>
    </fill>
    <fill>
      <patternFill patternType="solid">
        <fgColor rgb="FF1F4E78"/>
      </patternFill>
    </fill>
    <fill>
      <patternFill patternType="solid">
        <fgColor rgb="FF5B9BD5"/>
      </patternFill>
    </fill>
    <fill>
      <patternFill patternType="solid">
        <fgColor rgb="FFFFFFFF"/>
      </patternFill>
    </fill>
    <fill>
      <patternFill patternType="solid">
        <fgColor rgb="FFFFF2CC"/>
      </patternFill>
    </fill>
    <fill>
      <patternFill patternType="solid">
        <fgColor rgb="FFEAF3F8"/>
      </patternFill>
    </fill>
    <fill>
      <patternFill patternType="solid">
        <fgColor rgb="001F4E78"/>
      </patternFill>
    </fill>
    <fill>
      <patternFill patternType="solid">
        <fgColor rgb="00EAF3F8"/>
      </patternFill>
    </fill>
    <fill>
      <patternFill patternType="solid">
        <fgColor rgb="005B9BD5"/>
      </patternFill>
    </fill>
    <fill>
      <patternFill patternType="solid">
        <fgColor rgb="00E2F0D9"/>
      </patternFill>
    </fill>
    <fill>
      <patternFill patternType="solid">
        <fgColor rgb="00D9EAF7"/>
      </patternFill>
    </fill>
  </fills>
  <borders count="6">
    <border/>
    <border>
      <left style="thin">
        <color rgb="FFD9E2F3"/>
      </left>
      <right style="thin">
        <color rgb="FFD9E2F3"/>
      </right>
      <top style="thin">
        <color rgb="FFD9E2F3"/>
      </top>
      <bottom style="thin">
        <color rgb="FFD9E2F3"/>
      </bottom>
    </border>
    <border>
      <left style="thin">
        <color rgb="FFE7E6E6"/>
      </left>
      <right style="thin">
        <color rgb="FFE7E6E6"/>
      </right>
      <top style="thin">
        <color rgb="FFE7E6E6"/>
      </top>
      <bottom style="thin">
        <color rgb="FFE7E6E6"/>
      </bottom>
    </border>
    <border>
      <left style="thin">
        <color rgb="00D9E2F3"/>
      </left>
      <right style="thin">
        <color rgb="00D9E2F3"/>
      </right>
      <top style="thin">
        <color rgb="00D9E2F3"/>
      </top>
      <bottom style="thin">
        <color rgb="00D9E2F3"/>
      </bottom>
    </border>
    <border>
      <left style="thin">
        <color rgb="00E7E6E6"/>
      </left>
      <right style="thin">
        <color rgb="00E7E6E6"/>
      </right>
      <top style="thin">
        <color rgb="00E7E6E6"/>
      </top>
      <bottom style="thin">
        <color rgb="00E7E6E6"/>
      </bottom>
    </border>
    <border>
      <left style="thin">
        <color rgb="00CBD5E1"/>
      </left>
      <right style="thin">
        <color rgb="00CBD5E1"/>
      </right>
      <top style="thin">
        <color rgb="00CBD5E1"/>
      </top>
      <bottom style="thin">
        <color rgb="00CBD5E1"/>
      </bottom>
    </border>
  </borders>
  <cellStyleXfs count="1">
    <xf numFmtId="0" fontId="0" fillId="0" borderId="0"/>
  </cellStyleXfs>
  <cellXfs count="77">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3" borderId="0" pivotButton="0" quotePrefix="0" xfId="0"/>
    <xf numFmtId="0" fontId="2" fillId="3" borderId="0"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horizontal="center" wrapText="1"/>
    </xf>
    <xf numFmtId="0" fontId="2" fillId="3" borderId="1" applyAlignment="1" pivotButton="0" quotePrefix="0" xfId="0">
      <alignment horizontal="center" vertical="center" wrapText="1"/>
    </xf>
    <xf numFmtId="0" fontId="0" fillId="4" borderId="0" pivotButton="0" quotePrefix="0" xfId="0"/>
    <xf numFmtId="0" fontId="3" fillId="4" borderId="0" pivotButton="0" quotePrefix="0" xfId="0"/>
    <xf numFmtId="0" fontId="3" fillId="4" borderId="2" pivotButton="0" quotePrefix="0" xfId="0"/>
    <xf numFmtId="0" fontId="3" fillId="4" borderId="2" applyAlignment="1" pivotButton="0" quotePrefix="0" xfId="0">
      <alignment vertical="center"/>
    </xf>
    <xf numFmtId="0" fontId="3" fillId="5" borderId="2" applyAlignment="1" pivotButton="0" quotePrefix="0" xfId="0">
      <alignment vertical="center"/>
    </xf>
    <xf numFmtId="0" fontId="4" fillId="5" borderId="2" applyAlignment="1" pivotButton="0" quotePrefix="0" xfId="0">
      <alignment vertical="center"/>
    </xf>
    <xf numFmtId="10" fontId="4" fillId="5" borderId="2" applyAlignment="1" pivotButton="0" quotePrefix="0" xfId="0">
      <alignment vertical="center"/>
    </xf>
    <xf numFmtId="1" fontId="4" fillId="5" borderId="2" applyAlignment="1" pivotButton="0" quotePrefix="0" xfId="0">
      <alignment vertical="center"/>
    </xf>
    <xf numFmtId="164" fontId="3" fillId="4" borderId="2" applyAlignment="1" pivotButton="0" quotePrefix="0" xfId="0">
      <alignment vertical="center"/>
    </xf>
    <xf numFmtId="165" fontId="3" fillId="4" borderId="2" applyAlignment="1" pivotButton="0" quotePrefix="0" xfId="0">
      <alignment vertical="center"/>
    </xf>
    <xf numFmtId="10" fontId="3" fillId="4" borderId="2" applyAlignment="1" pivotButton="0" quotePrefix="0" xfId="0">
      <alignment vertical="center"/>
    </xf>
    <xf numFmtId="166" fontId="3" fillId="4" borderId="2" applyAlignment="1" pivotButton="0" quotePrefix="0" xfId="0">
      <alignment vertical="center"/>
    </xf>
    <xf numFmtId="9" fontId="3" fillId="4" borderId="2" applyAlignment="1" pivotButton="0" quotePrefix="0" xfId="0">
      <alignment vertical="center"/>
    </xf>
    <xf numFmtId="167" fontId="0" fillId="0" borderId="0" pivotButton="0" quotePrefix="0" xfId="0"/>
    <xf numFmtId="165" fontId="0" fillId="0" borderId="0" pivotButton="0" quotePrefix="0" xfId="0"/>
    <xf numFmtId="167" fontId="0" fillId="4" borderId="0" pivotButton="0" quotePrefix="0" xfId="0"/>
    <xf numFmtId="165" fontId="0" fillId="4" borderId="0" pivotButton="0" quotePrefix="0" xfId="0"/>
    <xf numFmtId="167" fontId="3" fillId="4" borderId="0" pivotButton="0" quotePrefix="0" xfId="0"/>
    <xf numFmtId="165" fontId="3" fillId="4" borderId="0" pivotButton="0" quotePrefix="0" xfId="0"/>
    <xf numFmtId="167" fontId="3" fillId="4" borderId="2" pivotButton="0" quotePrefix="0" xfId="0"/>
    <xf numFmtId="165" fontId="3" fillId="4" borderId="2" pivotButton="0" quotePrefix="0" xfId="0"/>
    <xf numFmtId="167" fontId="3" fillId="4" borderId="2" applyAlignment="1" pivotButton="0" quotePrefix="0" xfId="0">
      <alignment vertical="center"/>
    </xf>
    <xf numFmtId="0" fontId="0" fillId="5" borderId="0" pivotButton="0" quotePrefix="0" xfId="0"/>
    <xf numFmtId="0" fontId="5" fillId="5" borderId="0" pivotButton="0" quotePrefix="0" xfId="0"/>
    <xf numFmtId="0" fontId="5" fillId="5" borderId="1" pivotButton="0" quotePrefix="0" xfId="0"/>
    <xf numFmtId="165" fontId="5" fillId="5" borderId="1" pivotButton="0" quotePrefix="0" xfId="0"/>
    <xf numFmtId="0" fontId="0" fillId="6" borderId="0" pivotButton="0" quotePrefix="0" xfId="0"/>
    <xf numFmtId="0" fontId="5" fillId="6" borderId="0" pivotButton="0" quotePrefix="0" xfId="0"/>
    <xf numFmtId="0" fontId="5" fillId="6" borderId="1" pivotButton="0" quotePrefix="0" xfId="0"/>
    <xf numFmtId="0" fontId="0" fillId="4" borderId="1" pivotButton="0" quotePrefix="0" xfId="0"/>
    <xf numFmtId="165" fontId="0" fillId="4" borderId="1" pivotButton="0" quotePrefix="0" xfId="0"/>
    <xf numFmtId="167" fontId="0" fillId="4" borderId="1" pivotButton="0" quotePrefix="0" xfId="0"/>
    <xf numFmtId="0" fontId="6" fillId="4" borderId="0" pivotButton="0" quotePrefix="0" xfId="0"/>
    <xf numFmtId="168" fontId="3" fillId="4" borderId="2" applyAlignment="1" pivotButton="0" quotePrefix="0" xfId="0">
      <alignment vertical="center"/>
    </xf>
    <xf numFmtId="165" fontId="0" fillId="4" borderId="1" pivotButton="0" quotePrefix="0" xfId="0"/>
    <xf numFmtId="167" fontId="0" fillId="4" borderId="1" pivotButton="0" quotePrefix="0" xfId="0"/>
    <xf numFmtId="167" fontId="3" fillId="4" borderId="2" applyAlignment="1" pivotButton="0" quotePrefix="0" xfId="0">
      <alignment vertical="center"/>
    </xf>
    <xf numFmtId="165" fontId="3" fillId="4" borderId="2" applyAlignment="1" pivotButton="0" quotePrefix="0" xfId="0">
      <alignment vertical="center"/>
    </xf>
    <xf numFmtId="164" fontId="3" fillId="4" borderId="2" applyAlignment="1" pivotButton="0" quotePrefix="0" xfId="0">
      <alignment vertical="center"/>
    </xf>
    <xf numFmtId="10" fontId="3" fillId="4" borderId="2" applyAlignment="1" pivotButton="0" quotePrefix="0" xfId="0">
      <alignment vertical="center"/>
    </xf>
    <xf numFmtId="166" fontId="3" fillId="4" borderId="2" applyAlignment="1" pivotButton="0" quotePrefix="0" xfId="0">
      <alignment vertical="center"/>
    </xf>
    <xf numFmtId="9" fontId="3" fillId="4" borderId="2" applyAlignment="1" pivotButton="0" quotePrefix="0" xfId="0">
      <alignment vertical="center"/>
    </xf>
    <xf numFmtId="165" fontId="5" fillId="5" borderId="1" pivotButton="0" quotePrefix="0" xfId="0"/>
    <xf numFmtId="10" fontId="4" fillId="5" borderId="2" applyAlignment="1" pivotButton="0" quotePrefix="0" xfId="0">
      <alignment vertical="center"/>
    </xf>
    <xf numFmtId="1" fontId="4" fillId="5" borderId="2" applyAlignment="1" pivotButton="0" quotePrefix="0" xfId="0">
      <alignment vertical="center"/>
    </xf>
    <xf numFmtId="168" fontId="3" fillId="4" borderId="2" applyAlignment="1" pivotButton="0" quotePrefix="0" xfId="0">
      <alignment vertical="center"/>
    </xf>
    <xf numFmtId="0" fontId="7" fillId="7" borderId="0" applyAlignment="1" pivotButton="0" quotePrefix="0" xfId="0">
      <alignment horizontal="center" vertical="center"/>
    </xf>
    <xf numFmtId="0" fontId="8" fillId="8" borderId="0" applyAlignment="1" pivotButton="0" quotePrefix="0" xfId="0">
      <alignment horizontal="left"/>
    </xf>
    <xf numFmtId="0" fontId="9" fillId="9" borderId="3" applyAlignment="1" pivotButton="0" quotePrefix="0" xfId="0">
      <alignment horizontal="center" vertical="center" wrapText="1"/>
    </xf>
    <xf numFmtId="164" fontId="0" fillId="0" borderId="4" applyAlignment="1" pivotButton="0" quotePrefix="0" xfId="0">
      <alignment vertical="center" wrapText="1"/>
    </xf>
    <xf numFmtId="0" fontId="0" fillId="0" borderId="4" applyAlignment="1" pivotButton="0" quotePrefix="0" xfId="0">
      <alignment vertical="center" wrapText="1"/>
    </xf>
    <xf numFmtId="165" fontId="0" fillId="0" borderId="4" applyAlignment="1" pivotButton="0" quotePrefix="0" xfId="0">
      <alignment vertical="center" wrapText="1"/>
    </xf>
    <xf numFmtId="10" fontId="0" fillId="0" borderId="4" applyAlignment="1" pivotButton="0" quotePrefix="0" xfId="0">
      <alignment vertical="center" wrapText="1"/>
    </xf>
    <xf numFmtId="166" fontId="0" fillId="0" borderId="4" applyAlignment="1" pivotButton="0" quotePrefix="0" xfId="0">
      <alignment vertical="center" wrapText="1"/>
    </xf>
    <xf numFmtId="9" fontId="0" fillId="0" borderId="4" applyAlignment="1" pivotButton="0" quotePrefix="0" xfId="0">
      <alignment vertical="center" wrapText="1"/>
    </xf>
    <xf numFmtId="0" fontId="9" fillId="7" borderId="0" pivotButton="0" quotePrefix="0" xfId="0"/>
    <xf numFmtId="0" fontId="10" fillId="8" borderId="0" pivotButton="0" quotePrefix="0" xfId="0"/>
    <xf numFmtId="0" fontId="0" fillId="0" borderId="0" applyAlignment="1" pivotButton="0" quotePrefix="0" xfId="0">
      <alignment wrapText="1"/>
    </xf>
    <xf numFmtId="0" fontId="9" fillId="7" borderId="0" applyAlignment="1" pivotButton="0" quotePrefix="0" xfId="0">
      <alignment horizontal="center"/>
    </xf>
    <xf numFmtId="0" fontId="0" fillId="8" borderId="0" pivotButton="0" quotePrefix="0" xfId="0"/>
    <xf numFmtId="0" fontId="9" fillId="8" borderId="0" pivotButton="0" quotePrefix="0" xfId="0"/>
    <xf numFmtId="0" fontId="10" fillId="10" borderId="0" pivotButton="0" quotePrefix="0" xfId="0"/>
    <xf numFmtId="0" fontId="0" fillId="10" borderId="0" pivotButton="0" quotePrefix="0" xfId="0"/>
    <xf numFmtId="0" fontId="11" fillId="11" borderId="5" applyAlignment="1" pivotButton="0" quotePrefix="0" xfId="0">
      <alignment horizontal="center" vertical="center" wrapText="1"/>
    </xf>
    <xf numFmtId="0" fontId="11" fillId="11" borderId="0" pivotButton="0" quotePrefix="0" xfId="0"/>
    <xf numFmtId="0" fontId="0" fillId="0" borderId="5" pivotButton="0" quotePrefix="0" xfId="0"/>
  </cellXfs>
  <cellStyles count="1">
    <cellStyle name="Normal" xfId="0"/>
  </cellStyles>
  <dxfs count="6">
    <dxf>
      <font>
        <color rgb="FF006100"/>
      </font>
      <fill>
        <patternFill patternType="solid">
          <bgColor rgb="FFE2F0D9"/>
        </patternFill>
      </fill>
    </dxf>
    <dxf>
      <font>
        <color rgb="FFC00000"/>
      </font>
      <fill>
        <patternFill patternType="solid">
          <bgColor rgb="FFFCE4D6"/>
        </patternFill>
      </fill>
    </dxf>
    <dxf>
      <font>
        <b val="1"/>
        <color rgb="FF006100"/>
      </font>
      <fill>
        <patternFill patternType="solid">
          <bgColor rgb="FFE2F0D9"/>
        </patternFill>
      </fill>
    </dxf>
    <dxf>
      <font>
        <b val="1"/>
        <color rgb="FFC00000"/>
      </font>
      <fill>
        <patternFill patternType="solid">
          <bgColor rgb="FFFCE4D6"/>
        </patternFill>
      </fill>
    </dxf>
    <dxf>
      <fill>
        <patternFill patternType="solid">
          <fgColor rgb="00E2F0D9"/>
        </patternFill>
      </fill>
    </dxf>
    <dxf>
      <fill>
        <patternFill patternType="solid">
          <fgColor rgb="00FCE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a:lstStyle/>
          <a:p>
            <a:r>
              <a:rPr/>
              <a:t>แนวโน้มรายรับ ค่าใช้จ่าย และรายรับสุทธิ</a:t>
            </a:r>
          </a:p>
        </rich>
      </tx>
      <overlay val="0"/>
    </title>
    <plotArea>
      <layout/>
      <lineChart>
        <grouping val="standard"/>
        <ser>
          <idx val="0"/>
          <order val="0"/>
          <tx>
            <v>รายรับก่อน VAT</v>
          </tx>
          <spPr>
            <a:ln>
              <a:prstDash val="solid"/>
            </a:ln>
          </spPr>
          <marker>
            <symbol val="none"/>
            <spPr>
              <a:ln>
                <a:prstDash val="solid"/>
              </a:ln>
            </spPr>
          </marker>
          <dLbls>
            <showLegendKey val="0"/>
            <showVal val="0"/>
            <showCatName val="0"/>
            <showSerName val="0"/>
            <showPercent val="0"/>
            <showBubbleSize val="0"/>
            <showLeaderLines val="0"/>
          </dLbls>
          <cat>
            <strRef>
              <f>'Dashboard'!$P$11:$P$22</f>
              <strCache>
                <ptCount val="0"/>
              </strCache>
            </strRef>
          </cat>
          <val>
            <numRef>
              <f>'Dashboard'!$Q$11:$Q$22</f>
              <numCache>
                <formatCode>#,##0</formatCode>
                <ptCount val="0"/>
              </numCache>
            </numRef>
          </val>
          <smooth val="0"/>
        </ser>
        <ser>
          <idx val="1"/>
          <order val="1"/>
          <tx>
            <v>ค่าใช้จ่ายก่อน VAT</v>
          </tx>
          <spPr>
            <a:ln>
              <a:prstDash val="solid"/>
            </a:ln>
          </spPr>
          <marker>
            <symbol val="none"/>
            <spPr>
              <a:ln>
                <a:prstDash val="solid"/>
              </a:ln>
            </spPr>
          </marker>
          <dLbls>
            <showLegendKey val="0"/>
            <showVal val="0"/>
            <showCatName val="0"/>
            <showSerName val="0"/>
            <showPercent val="0"/>
            <showBubbleSize val="0"/>
            <showLeaderLines val="0"/>
          </dLbls>
          <cat>
            <strRef>
              <f>'Dashboard'!$P$11:$P$22</f>
              <strCache>
                <ptCount val="0"/>
              </strCache>
            </strRef>
          </cat>
          <val>
            <numRef>
              <f>'Dashboard'!$R$11:$R$22</f>
              <numCache>
                <formatCode>#,##0</formatCode>
                <ptCount val="0"/>
              </numCache>
            </numRef>
          </val>
          <smooth val="0"/>
        </ser>
        <ser>
          <idx val="2"/>
          <order val="2"/>
          <tx>
            <v>รายรับสุทธิ</v>
          </tx>
          <spPr>
            <a:ln>
              <a:prstDash val="solid"/>
            </a:ln>
          </spPr>
          <marker>
            <symbol val="none"/>
            <spPr>
              <a:ln>
                <a:prstDash val="solid"/>
              </a:ln>
            </spPr>
          </marker>
          <dLbls>
            <showLegendKey val="0"/>
            <showVal val="0"/>
            <showCatName val="0"/>
            <showSerName val="0"/>
            <showPercent val="0"/>
            <showBubbleSize val="0"/>
            <showLeaderLines val="0"/>
          </dLbls>
          <cat>
            <strRef>
              <f>'Dashboard'!$P$11:$P$22</f>
              <strCache>
                <ptCount val="0"/>
              </strCache>
            </strRef>
          </cat>
          <val>
            <numRef>
              <f>'Dashboard'!$S$11:$S$22</f>
              <numCache>
                <formatCode>#,##0</formatCode>
                <ptCount val="0"/>
              </numCache>
            </numRef>
          </val>
          <smooth val="0"/>
        </ser>
        <dLbls>
          <showLegendKey val="0"/>
          <showVal val="0"/>
          <showCatName val="0"/>
          <showSerName val="0"/>
          <showPercent val="0"/>
          <showBubbleSize val="0"/>
          <showLeaderLines val="0"/>
        </dLbls>
        <axId val="48650112"/>
        <axId val="48672768"/>
      </lineChart>
      <catAx>
        <axId val="48650112"/>
        <scaling>
          <orientation val="minMax"/>
        </scaling>
        <delete val="0"/>
        <axPos val="b"/>
        <majorGridlines>
          <spPr>
            <a:l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w="9525">
              <a:solidFill>
                <a:srgbClr val="CCCCCC"/>
              </a:solidFill>
              <a:prstDash val="dash"/>
            </a:ln>
          </spPr>
        </majorGridlines>
        <numFmt formatCode="#,##0" sourceLinked="0"/>
        <majorTickMark val="none"/>
        <minorTickMark val="none"/>
        <crossAx val="48650112"/>
        <crosses val="autoZero"/>
        <crossBetween val="between"/>
      </valAx>
    </plotArea>
    <legend>
      <legendPos val="b"/>
      <overlay val="0"/>
    </legend>
    <plotVisOnly val="1"/>
    <dispBlanksAs val="gap"/>
  </chart>
  <spPr>
    <a:ln w="9525">
      <a:solidFill>
        <a:srgbClr val="D9D9D9"/>
      </a:solidFill>
      <a:prstDash val="solid"/>
    </a:ln>
  </spPr>
</chartSpace>
</file>

<file path=xl/charts/chart2.xml><?xml version="1.0" encoding="utf-8"?>
<chartSpace xmlns:a="http://schemas.openxmlformats.org/drawingml/2006/main" xmlns="http://schemas.openxmlformats.org/drawingml/2006/chart">
  <chart>
    <title>
      <tx>
        <rich>
          <a:bodyPr/>
          <a:lstStyle/>
          <a:p>
            <a:r>
              <a:rPr/>
              <a:t>VAT สุทธิรายเดือน</a:t>
            </a:r>
          </a:p>
        </rich>
      </tx>
      <overlay val="0"/>
    </title>
    <plotArea>
      <layout/>
      <barChart>
        <barDir val="col"/>
        <grouping val="clustered"/>
        <varyColors val="0"/>
        <ser>
          <idx val="0"/>
          <order val="0"/>
          <tx>
            <v>VAT สุทธิ</v>
          </tx>
          <spPr>
            <a:ln>
              <a:prstDash val="solid"/>
            </a:ln>
          </spPr>
          <dLbls>
            <showLegendKey val="0"/>
            <showVal val="0"/>
            <showCatName val="0"/>
            <showSerName val="0"/>
            <showPercent val="0"/>
            <showBubbleSize val="0"/>
            <showLeaderLines val="0"/>
          </dLbls>
          <cat>
            <strRef>
              <f>'Dashboard'!$U$11:$U$22</f>
              <strCache>
                <ptCount val="0"/>
              </strCache>
            </strRef>
          </cat>
          <val>
            <numRef>
              <f>'Dashboard'!$V$11:$V$22</f>
              <numCache>
                <formatCode>General</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w="9525">
              <a:solidFill>
                <a:srgbClr val="CCCCCC"/>
              </a:solidFill>
              <a:prstDash val="dash"/>
            </a:ln>
          </spPr>
        </majorGridlines>
        <numFmt formatCode="General" sourceLinked="0"/>
        <majorTickMark val="none"/>
        <minorTickMark val="none"/>
        <crossAx val="48650112"/>
        <crosses val="autoZero"/>
        <crossBetween val="between"/>
      </valAx>
    </plotArea>
    <legend>
      <legendPos val="b"/>
      <overlay val="0"/>
    </legend>
    <plotVisOnly val="1"/>
    <dispBlanksAs val="gap"/>
  </chart>
  <spPr>
    <a:l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8</col>
      <colOff>0</colOff>
      <row>2</row>
      <rowOff>0</rowOff>
    </from>
    <to>
      <col>14</col>
      <colOff>0</colOff>
      <row>16</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8</col>
      <colOff>0</colOff>
      <row>17</row>
      <rowOff>0</rowOff>
    </from>
    <to>
      <col>14</col>
      <colOff>0</colOff>
      <row>31</row>
      <rowOff>0</rowOff>
    </to>
    <graphicFrame>
      <nvGraphicFramePr>
        <cNvPr id="2" name="Chart 2"/>
        <cNvGraphicFramePr/>
      </nvGraphicFramePr>
      <xfrm/>
      <a:graphic>
        <a:graphicData uri="http://schemas.openxmlformats.org/drawingml/2006/chart">
          <c:chart r:id="rId2"/>
        </a:graphicData>
      </a:graphic>
    </graphicFrame>
    <clientData/>
  </twoCellAnchor>
</wsDr>
</file>

<file path=xl/tables/table1.xml><?xml version="1.0" encoding="utf-8"?>
<table xmlns="http://schemas.openxmlformats.org/spreadsheetml/2006/main" id="1" name="RevenueTable" displayName="RevenueTable" ref="A3:K203" headerRowCount="1">
  <tableColumns count="11">
    <tableColumn id="1" name="วันที่"/>
    <tableColumn id="2" name="เลขที่ใบกำกับ"/>
    <tableColumn id="3" name="ลูกค้า"/>
    <tableColumn id="4" name="รายละเอียด"/>
    <tableColumn id="5" name="ยอดก่อน VAT"/>
    <tableColumn id="6" name="อัตรา VAT"/>
    <tableColumn id="7" name="ภาษีขาย"/>
    <tableColumn id="8" name="ยอดรวม"/>
    <tableColumn id="9" name="รับเงินแล้ว?"/>
    <tableColumn id="10" name="เดือน"/>
    <tableColumn id="11" name="หมายเหตุ"/>
  </tableColumns>
  <tableStyleInfo name="TableStyleMedium2" showRowStripes="1"/>
</table>
</file>

<file path=xl/tables/table2.xml><?xml version="1.0" encoding="utf-8"?>
<table xmlns="http://schemas.openxmlformats.org/spreadsheetml/2006/main" id="2" name="ExpenseTable" displayName="ExpenseTable" ref="A3:N303" headerRowCount="1">
  <tableColumns count="14">
    <tableColumn id="1" name="วันที่"/>
    <tableColumn id="2" name="เลขที่บิล/ใบกำกับ"/>
    <tableColumn id="3" name="ผู้ขาย"/>
    <tableColumn id="4" name="รายละเอียด"/>
    <tableColumn id="5" name="หมวด"/>
    <tableColumn id="6" name="ยอดก่อน VAT"/>
    <tableColumn id="7" name="อัตรา VAT"/>
    <tableColumn id="8" name="ภาษีซื้อ"/>
    <tableColumn id="9" name="ยอดรวม"/>
    <tableColumn id="10" name="ขอคืน VAT ได้?"/>
    <tableColumn id="11" name="เดือน"/>
    <tableColumn id="12" name="ไฟล์บิล"/>
    <tableColumn id="13" name="OCR Confidence"/>
    <tableColumn id="14" name="หมายเหตุ"/>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V22"/>
  <sheetViews>
    <sheetView showGridLines="0" workbookViewId="0">
      <selection activeCell="A1" sqref="A1"/>
    </sheetView>
  </sheetViews>
  <sheetFormatPr baseColWidth="8" defaultRowHeight="15"/>
  <cols>
    <col width="11.88000011444092" customWidth="1" min="1" max="1"/>
    <col width="16.25" customWidth="1" min="2" max="2"/>
    <col width="16.8799991607666" customWidth="1" min="3" max="3"/>
    <col width="16.25" customWidth="1" min="4" max="4"/>
    <col width="13.13000011444092" customWidth="1" min="5" max="5"/>
    <col width="13.13000011444092" customWidth="1" min="6" max="6"/>
    <col width="13.75" customWidth="1" min="7" max="7"/>
    <col width="3" customWidth="1" min="8" max="8"/>
    <col width="15" customWidth="1" min="9" max="9"/>
    <col width="15" customWidth="1" min="10" max="10"/>
    <col width="15" customWidth="1" min="11" max="11"/>
    <col width="15" customWidth="1" min="12" max="12"/>
    <col width="15" customWidth="1" min="13" max="13"/>
    <col width="15" customWidth="1" min="14" max="14"/>
    <col width="0.25" customWidth="1" min="16" max="16"/>
    <col width="0.25" customWidth="1" min="17" max="17"/>
    <col width="0.25" customWidth="1" min="18" max="18"/>
    <col width="0.25" customWidth="1" min="19" max="19"/>
    <col width="0.25" customWidth="1" min="20" max="20"/>
    <col width="0.25" customWidth="1" min="21" max="21"/>
    <col width="0.25" customWidth="1" min="22" max="22"/>
  </cols>
  <sheetData>
    <row r="1" ht="25.5" customHeight="1">
      <c r="A1" s="4" t="inlineStr">
        <is>
          <t>Dashboard ค่าใช้จ่าย รายรับ และ VAT รายเดือน</t>
        </is>
      </c>
    </row>
    <row r="3">
      <c r="A3" s="39" t="inlineStr">
        <is>
          <t>ปี</t>
        </is>
      </c>
      <c r="B3" s="40">
        <f>Settings!B5</f>
        <v/>
      </c>
      <c r="D3" s="39" t="inlineStr">
        <is>
          <t>VAT สุทธิทั้งปี</t>
        </is>
      </c>
      <c r="E3" s="45">
        <f>Monthly_VAT!G17</f>
        <v/>
      </c>
    </row>
    <row r="4">
      <c r="A4" s="39" t="inlineStr">
        <is>
          <t>รายรับก่อน VAT</t>
        </is>
      </c>
      <c r="B4" s="45">
        <f>SUM(Monthly_VAT!B4:B15)</f>
        <v/>
      </c>
      <c r="D4" s="39" t="inlineStr">
        <is>
          <t>เดือนที่ VAT ต้องจ่ายสูงสุด</t>
        </is>
      </c>
      <c r="E4" s="46">
        <f>INDEX(Monthly_VAT!A4:A15,MATCH(MAX(Monthly_VAT!G4:G15),Monthly_VAT!G4:G15,0))</f>
        <v/>
      </c>
    </row>
    <row r="5">
      <c r="A5" s="39" t="inlineStr">
        <is>
          <t>ค่าใช้จ่ายก่อน VAT</t>
        </is>
      </c>
      <c r="B5" s="45">
        <f>SUM(Monthly_VAT!D4:D15)</f>
        <v/>
      </c>
      <c r="D5" s="39" t="inlineStr">
        <is>
          <t>สถานะรวม</t>
        </is>
      </c>
      <c r="E5" s="40">
        <f>IF(E3&gt;0,"ต้องจ่าย",IF(E3&lt;0,"ขอคืน/เครดิต","ไม่มี VAT สุทธิ"))</f>
        <v/>
      </c>
    </row>
    <row r="6">
      <c r="A6" s="39" t="inlineStr">
        <is>
          <t>รายรับสุทธิ</t>
        </is>
      </c>
      <c r="B6" s="45">
        <f>SUM(Monthly_VAT!F4:F15)</f>
        <v/>
      </c>
    </row>
    <row r="7">
      <c r="A7" s="39" t="inlineStr">
        <is>
          <t>ภาษีขาย</t>
        </is>
      </c>
      <c r="B7" s="45">
        <f>SUM(Monthly_VAT!C4:C15)</f>
        <v/>
      </c>
    </row>
    <row r="8">
      <c r="A8" s="39" t="inlineStr">
        <is>
          <t>ภาษีซื้อ</t>
        </is>
      </c>
      <c r="B8" s="45">
        <f>SUM(Monthly_VAT!E4:E15)</f>
        <v/>
      </c>
    </row>
    <row r="10">
      <c r="A10" s="10" t="inlineStr">
        <is>
          <t>เดือน</t>
        </is>
      </c>
      <c r="B10" s="10" t="inlineStr">
        <is>
          <t>รายรับก่อน VAT</t>
        </is>
      </c>
      <c r="C10" s="10" t="inlineStr">
        <is>
          <t>ค่าใช้จ่ายก่อน VAT</t>
        </is>
      </c>
      <c r="D10" s="10" t="inlineStr">
        <is>
          <t>รายรับสุทธิ</t>
        </is>
      </c>
      <c r="E10" s="10" t="inlineStr">
        <is>
          <t>ภาษีขาย</t>
        </is>
      </c>
      <c r="F10" s="10" t="inlineStr">
        <is>
          <t>ภาษีซื้อ</t>
        </is>
      </c>
      <c r="G10" s="10" t="inlineStr">
        <is>
          <t>VAT สุทธิ</t>
        </is>
      </c>
      <c r="P10" s="43" t="inlineStr">
        <is>
          <t>เดือน</t>
        </is>
      </c>
      <c r="Q10" s="43" t="inlineStr">
        <is>
          <t>รายรับก่อน VAT</t>
        </is>
      </c>
      <c r="R10" s="43" t="inlineStr">
        <is>
          <t>ค่าใช้จ่ายก่อน VAT</t>
        </is>
      </c>
      <c r="S10" s="43" t="inlineStr">
        <is>
          <t>รายรับสุทธิ</t>
        </is>
      </c>
      <c r="T10" s="43" t="n"/>
      <c r="U10" s="43" t="inlineStr">
        <is>
          <t>เดือน</t>
        </is>
      </c>
      <c r="V10" s="43" t="inlineStr">
        <is>
          <t>VAT สุทธิ</t>
        </is>
      </c>
    </row>
    <row r="11">
      <c r="A11" s="47">
        <f>Monthly_VAT!A4</f>
        <v/>
      </c>
      <c r="B11" s="48">
        <f>Monthly_VAT!B4</f>
        <v/>
      </c>
      <c r="C11" s="48">
        <f>Monthly_VAT!D4</f>
        <v/>
      </c>
      <c r="D11" s="48">
        <f>Monthly_VAT!F4</f>
        <v/>
      </c>
      <c r="E11" s="48">
        <f>Monthly_VAT!C4</f>
        <v/>
      </c>
      <c r="F11" s="48">
        <f>Monthly_VAT!E4</f>
        <v/>
      </c>
      <c r="G11" s="48">
        <f>Monthly_VAT!G4</f>
        <v/>
      </c>
      <c r="P11" s="43" t="inlineStr">
        <is>
          <t>Jan 2026</t>
        </is>
      </c>
      <c r="Q11" s="43">
        <f>Monthly_VAT!B4</f>
        <v/>
      </c>
      <c r="R11" s="43">
        <f>Monthly_VAT!D4</f>
        <v/>
      </c>
      <c r="S11" s="43">
        <f>Monthly_VAT!F4</f>
        <v/>
      </c>
      <c r="T11" s="43" t="n"/>
      <c r="U11" s="43" t="inlineStr">
        <is>
          <t>Jan 2026</t>
        </is>
      </c>
      <c r="V11" s="43">
        <f>Monthly_VAT!G4</f>
        <v/>
      </c>
    </row>
    <row r="12">
      <c r="A12" s="47">
        <f>Monthly_VAT!A5</f>
        <v/>
      </c>
      <c r="B12" s="48">
        <f>Monthly_VAT!B5</f>
        <v/>
      </c>
      <c r="C12" s="48">
        <f>Monthly_VAT!D5</f>
        <v/>
      </c>
      <c r="D12" s="48">
        <f>Monthly_VAT!F5</f>
        <v/>
      </c>
      <c r="E12" s="48">
        <f>Monthly_VAT!C5</f>
        <v/>
      </c>
      <c r="F12" s="48">
        <f>Monthly_VAT!E5</f>
        <v/>
      </c>
      <c r="G12" s="48">
        <f>Monthly_VAT!G5</f>
        <v/>
      </c>
      <c r="P12" s="43" t="inlineStr">
        <is>
          <t>Feb 2026</t>
        </is>
      </c>
      <c r="Q12" s="43">
        <f>Monthly_VAT!B5</f>
        <v/>
      </c>
      <c r="R12" s="43">
        <f>Monthly_VAT!D5</f>
        <v/>
      </c>
      <c r="S12" s="43">
        <f>Monthly_VAT!F5</f>
        <v/>
      </c>
      <c r="T12" s="43" t="n"/>
      <c r="U12" s="43" t="inlineStr">
        <is>
          <t>Feb 2026</t>
        </is>
      </c>
      <c r="V12" s="43">
        <f>Monthly_VAT!G5</f>
        <v/>
      </c>
    </row>
    <row r="13">
      <c r="A13" s="47">
        <f>Monthly_VAT!A6</f>
        <v/>
      </c>
      <c r="B13" s="48">
        <f>Monthly_VAT!B6</f>
        <v/>
      </c>
      <c r="C13" s="48">
        <f>Monthly_VAT!D6</f>
        <v/>
      </c>
      <c r="D13" s="48">
        <f>Monthly_VAT!F6</f>
        <v/>
      </c>
      <c r="E13" s="48">
        <f>Monthly_VAT!C6</f>
        <v/>
      </c>
      <c r="F13" s="48">
        <f>Monthly_VAT!E6</f>
        <v/>
      </c>
      <c r="G13" s="48">
        <f>Monthly_VAT!G6</f>
        <v/>
      </c>
      <c r="P13" s="43" t="inlineStr">
        <is>
          <t>Mar 2026</t>
        </is>
      </c>
      <c r="Q13" s="43">
        <f>Monthly_VAT!B6</f>
        <v/>
      </c>
      <c r="R13" s="43">
        <f>Monthly_VAT!D6</f>
        <v/>
      </c>
      <c r="S13" s="43">
        <f>Monthly_VAT!F6</f>
        <v/>
      </c>
      <c r="T13" s="43" t="n"/>
      <c r="U13" s="43" t="inlineStr">
        <is>
          <t>Mar 2026</t>
        </is>
      </c>
      <c r="V13" s="43">
        <f>Monthly_VAT!G6</f>
        <v/>
      </c>
    </row>
    <row r="14">
      <c r="A14" s="47">
        <f>Monthly_VAT!A7</f>
        <v/>
      </c>
      <c r="B14" s="48">
        <f>Monthly_VAT!B7</f>
        <v/>
      </c>
      <c r="C14" s="48">
        <f>Monthly_VAT!D7</f>
        <v/>
      </c>
      <c r="D14" s="48">
        <f>Monthly_VAT!F7</f>
        <v/>
      </c>
      <c r="E14" s="48">
        <f>Monthly_VAT!C7</f>
        <v/>
      </c>
      <c r="F14" s="48">
        <f>Monthly_VAT!E7</f>
        <v/>
      </c>
      <c r="G14" s="48">
        <f>Monthly_VAT!G7</f>
        <v/>
      </c>
      <c r="P14" s="43" t="inlineStr">
        <is>
          <t>Apr 2026</t>
        </is>
      </c>
      <c r="Q14" s="43">
        <f>Monthly_VAT!B7</f>
        <v/>
      </c>
      <c r="R14" s="43">
        <f>Monthly_VAT!D7</f>
        <v/>
      </c>
      <c r="S14" s="43">
        <f>Monthly_VAT!F7</f>
        <v/>
      </c>
      <c r="T14" s="43" t="n"/>
      <c r="U14" s="43" t="inlineStr">
        <is>
          <t>Apr 2026</t>
        </is>
      </c>
      <c r="V14" s="43">
        <f>Monthly_VAT!G7</f>
        <v/>
      </c>
    </row>
    <row r="15">
      <c r="A15" s="47">
        <f>Monthly_VAT!A8</f>
        <v/>
      </c>
      <c r="B15" s="48">
        <f>Monthly_VAT!B8</f>
        <v/>
      </c>
      <c r="C15" s="48">
        <f>Monthly_VAT!D8</f>
        <v/>
      </c>
      <c r="D15" s="48">
        <f>Monthly_VAT!F8</f>
        <v/>
      </c>
      <c r="E15" s="48">
        <f>Monthly_VAT!C8</f>
        <v/>
      </c>
      <c r="F15" s="48">
        <f>Monthly_VAT!E8</f>
        <v/>
      </c>
      <c r="G15" s="48">
        <f>Monthly_VAT!G8</f>
        <v/>
      </c>
      <c r="P15" s="43" t="inlineStr">
        <is>
          <t>May 2026</t>
        </is>
      </c>
      <c r="Q15" s="43">
        <f>Monthly_VAT!B8</f>
        <v/>
      </c>
      <c r="R15" s="43">
        <f>Monthly_VAT!D8</f>
        <v/>
      </c>
      <c r="S15" s="43">
        <f>Monthly_VAT!F8</f>
        <v/>
      </c>
      <c r="T15" s="43" t="n"/>
      <c r="U15" s="43" t="inlineStr">
        <is>
          <t>May 2026</t>
        </is>
      </c>
      <c r="V15" s="43">
        <f>Monthly_VAT!G8</f>
        <v/>
      </c>
    </row>
    <row r="16">
      <c r="A16" s="47">
        <f>Monthly_VAT!A9</f>
        <v/>
      </c>
      <c r="B16" s="48">
        <f>Monthly_VAT!B9</f>
        <v/>
      </c>
      <c r="C16" s="48">
        <f>Monthly_VAT!D9</f>
        <v/>
      </c>
      <c r="D16" s="48">
        <f>Monthly_VAT!F9</f>
        <v/>
      </c>
      <c r="E16" s="48">
        <f>Monthly_VAT!C9</f>
        <v/>
      </c>
      <c r="F16" s="48">
        <f>Monthly_VAT!E9</f>
        <v/>
      </c>
      <c r="G16" s="48">
        <f>Monthly_VAT!G9</f>
        <v/>
      </c>
      <c r="P16" s="43" t="inlineStr">
        <is>
          <t>Jun 2026</t>
        </is>
      </c>
      <c r="Q16" s="43">
        <f>Monthly_VAT!B9</f>
        <v/>
      </c>
      <c r="R16" s="43">
        <f>Monthly_VAT!D9</f>
        <v/>
      </c>
      <c r="S16" s="43">
        <f>Monthly_VAT!F9</f>
        <v/>
      </c>
      <c r="T16" s="43" t="n"/>
      <c r="U16" s="43" t="inlineStr">
        <is>
          <t>Jun 2026</t>
        </is>
      </c>
      <c r="V16" s="43">
        <f>Monthly_VAT!G9</f>
        <v/>
      </c>
    </row>
    <row r="17">
      <c r="A17" s="47">
        <f>Monthly_VAT!A10</f>
        <v/>
      </c>
      <c r="B17" s="48">
        <f>Monthly_VAT!B10</f>
        <v/>
      </c>
      <c r="C17" s="48">
        <f>Monthly_VAT!D10</f>
        <v/>
      </c>
      <c r="D17" s="48">
        <f>Monthly_VAT!F10</f>
        <v/>
      </c>
      <c r="E17" s="48">
        <f>Monthly_VAT!C10</f>
        <v/>
      </c>
      <c r="F17" s="48">
        <f>Monthly_VAT!E10</f>
        <v/>
      </c>
      <c r="G17" s="48">
        <f>Monthly_VAT!G10</f>
        <v/>
      </c>
      <c r="P17" s="43" t="inlineStr">
        <is>
          <t>Jul 2026</t>
        </is>
      </c>
      <c r="Q17" s="43">
        <f>Monthly_VAT!B10</f>
        <v/>
      </c>
      <c r="R17" s="43">
        <f>Monthly_VAT!D10</f>
        <v/>
      </c>
      <c r="S17" s="43">
        <f>Monthly_VAT!F10</f>
        <v/>
      </c>
      <c r="T17" s="43" t="n"/>
      <c r="U17" s="43" t="inlineStr">
        <is>
          <t>Jul 2026</t>
        </is>
      </c>
      <c r="V17" s="43">
        <f>Monthly_VAT!G10</f>
        <v/>
      </c>
    </row>
    <row r="18">
      <c r="A18" s="47">
        <f>Monthly_VAT!A11</f>
        <v/>
      </c>
      <c r="B18" s="48">
        <f>Monthly_VAT!B11</f>
        <v/>
      </c>
      <c r="C18" s="48">
        <f>Monthly_VAT!D11</f>
        <v/>
      </c>
      <c r="D18" s="48">
        <f>Monthly_VAT!F11</f>
        <v/>
      </c>
      <c r="E18" s="48">
        <f>Monthly_VAT!C11</f>
        <v/>
      </c>
      <c r="F18" s="48">
        <f>Monthly_VAT!E11</f>
        <v/>
      </c>
      <c r="G18" s="48">
        <f>Monthly_VAT!G11</f>
        <v/>
      </c>
      <c r="P18" s="43" t="inlineStr">
        <is>
          <t>Aug 2026</t>
        </is>
      </c>
      <c r="Q18" s="43">
        <f>Monthly_VAT!B11</f>
        <v/>
      </c>
      <c r="R18" s="43">
        <f>Monthly_VAT!D11</f>
        <v/>
      </c>
      <c r="S18" s="43">
        <f>Monthly_VAT!F11</f>
        <v/>
      </c>
      <c r="T18" s="43" t="n"/>
      <c r="U18" s="43" t="inlineStr">
        <is>
          <t>Aug 2026</t>
        </is>
      </c>
      <c r="V18" s="43">
        <f>Monthly_VAT!G11</f>
        <v/>
      </c>
    </row>
    <row r="19">
      <c r="A19" s="47">
        <f>Monthly_VAT!A12</f>
        <v/>
      </c>
      <c r="B19" s="48">
        <f>Monthly_VAT!B12</f>
        <v/>
      </c>
      <c r="C19" s="48">
        <f>Monthly_VAT!D12</f>
        <v/>
      </c>
      <c r="D19" s="48">
        <f>Monthly_VAT!F12</f>
        <v/>
      </c>
      <c r="E19" s="48">
        <f>Monthly_VAT!C12</f>
        <v/>
      </c>
      <c r="F19" s="48">
        <f>Monthly_VAT!E12</f>
        <v/>
      </c>
      <c r="G19" s="48">
        <f>Monthly_VAT!G12</f>
        <v/>
      </c>
      <c r="P19" s="43" t="inlineStr">
        <is>
          <t>Sep 2026</t>
        </is>
      </c>
      <c r="Q19" s="43">
        <f>Monthly_VAT!B12</f>
        <v/>
      </c>
      <c r="R19" s="43">
        <f>Monthly_VAT!D12</f>
        <v/>
      </c>
      <c r="S19" s="43">
        <f>Monthly_VAT!F12</f>
        <v/>
      </c>
      <c r="T19" s="43" t="n"/>
      <c r="U19" s="43" t="inlineStr">
        <is>
          <t>Sep 2026</t>
        </is>
      </c>
      <c r="V19" s="43">
        <f>Monthly_VAT!G12</f>
        <v/>
      </c>
    </row>
    <row r="20">
      <c r="A20" s="47">
        <f>Monthly_VAT!A13</f>
        <v/>
      </c>
      <c r="B20" s="48">
        <f>Monthly_VAT!B13</f>
        <v/>
      </c>
      <c r="C20" s="48">
        <f>Monthly_VAT!D13</f>
        <v/>
      </c>
      <c r="D20" s="48">
        <f>Monthly_VAT!F13</f>
        <v/>
      </c>
      <c r="E20" s="48">
        <f>Monthly_VAT!C13</f>
        <v/>
      </c>
      <c r="F20" s="48">
        <f>Monthly_VAT!E13</f>
        <v/>
      </c>
      <c r="G20" s="48">
        <f>Monthly_VAT!G13</f>
        <v/>
      </c>
      <c r="P20" s="43" t="inlineStr">
        <is>
          <t>Oct 2026</t>
        </is>
      </c>
      <c r="Q20" s="43">
        <f>Monthly_VAT!B13</f>
        <v/>
      </c>
      <c r="R20" s="43">
        <f>Monthly_VAT!D13</f>
        <v/>
      </c>
      <c r="S20" s="43">
        <f>Monthly_VAT!F13</f>
        <v/>
      </c>
      <c r="T20" s="43" t="n"/>
      <c r="U20" s="43" t="inlineStr">
        <is>
          <t>Oct 2026</t>
        </is>
      </c>
      <c r="V20" s="43">
        <f>Monthly_VAT!G13</f>
        <v/>
      </c>
    </row>
    <row r="21">
      <c r="A21" s="47">
        <f>Monthly_VAT!A14</f>
        <v/>
      </c>
      <c r="B21" s="48">
        <f>Monthly_VAT!B14</f>
        <v/>
      </c>
      <c r="C21" s="48">
        <f>Monthly_VAT!D14</f>
        <v/>
      </c>
      <c r="D21" s="48">
        <f>Monthly_VAT!F14</f>
        <v/>
      </c>
      <c r="E21" s="48">
        <f>Monthly_VAT!C14</f>
        <v/>
      </c>
      <c r="F21" s="48">
        <f>Monthly_VAT!E14</f>
        <v/>
      </c>
      <c r="G21" s="48">
        <f>Monthly_VAT!G14</f>
        <v/>
      </c>
      <c r="P21" s="43" t="inlineStr">
        <is>
          <t>Nov 2026</t>
        </is>
      </c>
      <c r="Q21" s="43">
        <f>Monthly_VAT!B14</f>
        <v/>
      </c>
      <c r="R21" s="43">
        <f>Monthly_VAT!D14</f>
        <v/>
      </c>
      <c r="S21" s="43">
        <f>Monthly_VAT!F14</f>
        <v/>
      </c>
      <c r="T21" s="43" t="n"/>
      <c r="U21" s="43" t="inlineStr">
        <is>
          <t>Nov 2026</t>
        </is>
      </c>
      <c r="V21" s="43">
        <f>Monthly_VAT!G14</f>
        <v/>
      </c>
    </row>
    <row r="22">
      <c r="A22" s="47">
        <f>Monthly_VAT!A15</f>
        <v/>
      </c>
      <c r="B22" s="48">
        <f>Monthly_VAT!B15</f>
        <v/>
      </c>
      <c r="C22" s="48">
        <f>Monthly_VAT!D15</f>
        <v/>
      </c>
      <c r="D22" s="48">
        <f>Monthly_VAT!F15</f>
        <v/>
      </c>
      <c r="E22" s="48">
        <f>Monthly_VAT!C15</f>
        <v/>
      </c>
      <c r="F22" s="48">
        <f>Monthly_VAT!E15</f>
        <v/>
      </c>
      <c r="G22" s="48">
        <f>Monthly_VAT!G15</f>
        <v/>
      </c>
      <c r="P22" s="43" t="inlineStr">
        <is>
          <t>Dec 2026</t>
        </is>
      </c>
      <c r="Q22" s="43">
        <f>Monthly_VAT!B15</f>
        <v/>
      </c>
      <c r="R22" s="43">
        <f>Monthly_VAT!D15</f>
        <v/>
      </c>
      <c r="S22" s="43">
        <f>Monthly_VAT!F15</f>
        <v/>
      </c>
      <c r="T22" s="43" t="n"/>
      <c r="U22" s="43" t="inlineStr">
        <is>
          <t>Dec 2026</t>
        </is>
      </c>
      <c r="V22" s="43">
        <f>Monthly_VAT!G15</f>
        <v/>
      </c>
    </row>
  </sheetData>
  <mergeCells count="1">
    <mergeCell ref="A1:N1"/>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397"/>
  <sheetViews>
    <sheetView showGridLines="0" workbookViewId="0">
      <pane ySplit="3" topLeftCell="A4" activePane="bottomLeft" state="frozen"/>
      <selection pane="bottomLeft" activeCell="A1" sqref="A1"/>
    </sheetView>
  </sheetViews>
  <sheetFormatPr baseColWidth="8" defaultRowHeight="15"/>
  <cols>
    <col width="13" customWidth="1" min="1" max="1"/>
    <col width="14" customWidth="1" min="2" max="2"/>
    <col width="18" customWidth="1" min="3" max="3"/>
    <col width="24" customWidth="1" min="4" max="4"/>
    <col width="30" customWidth="1" min="5" max="5"/>
    <col width="18" customWidth="1" min="6" max="6"/>
    <col width="15" customWidth="1" min="7" max="7"/>
    <col width="11" customWidth="1" min="8" max="8"/>
    <col width="13" customWidth="1" min="9" max="9"/>
    <col width="14" customWidth="1" min="10" max="10"/>
    <col width="17" customWidth="1" min="11" max="11"/>
    <col width="13" customWidth="1" min="12" max="12"/>
    <col width="28" customWidth="1" min="13" max="13"/>
    <col width="14" customWidth="1" min="14" max="14"/>
    <col width="15" customWidth="1" min="15" max="15"/>
    <col width="17" customWidth="1" min="16" max="16"/>
    <col width="28" customWidth="1" min="17" max="17"/>
    <col width="18" customWidth="1" min="18" max="18"/>
  </cols>
  <sheetData>
    <row r="1" ht="28" customHeight="1">
      <c r="A1" s="57" t="inlineStr">
        <is>
          <t>Revenue + Expenses Entry - กรอกรายรับ/ค่าใช้จ่ายทีละรายการ แยกรายเดือน</t>
        </is>
      </c>
    </row>
    <row r="2"/>
    <row r="3">
      <c r="A3" s="58" t="inlineStr">
        <is>
          <t>January 2026 / เดือน Jan</t>
        </is>
      </c>
    </row>
    <row r="4">
      <c r="A4" s="59" t="inlineStr">
        <is>
          <t>วันที่</t>
        </is>
      </c>
      <c r="B4" s="59" t="inlineStr">
        <is>
          <t>ประเภท</t>
        </is>
      </c>
      <c r="C4" s="59" t="inlineStr">
        <is>
          <t>เลขที่เอกสาร</t>
        </is>
      </c>
      <c r="D4" s="59" t="inlineStr">
        <is>
          <t>ลูกค้า/ผู้ขาย</t>
        </is>
      </c>
      <c r="E4" s="59" t="inlineStr">
        <is>
          <t>รายละเอียด</t>
        </is>
      </c>
      <c r="F4" s="59" t="inlineStr">
        <is>
          <t>หมวด</t>
        </is>
      </c>
      <c r="G4" s="59" t="inlineStr">
        <is>
          <t>ยอดก่อน VAT</t>
        </is>
      </c>
      <c r="H4" s="59" t="inlineStr">
        <is>
          <t>อัตรา VAT</t>
        </is>
      </c>
      <c r="I4" s="59" t="inlineStr">
        <is>
          <t>VAT</t>
        </is>
      </c>
      <c r="J4" s="59" t="inlineStr">
        <is>
          <t>ยอดรวม</t>
        </is>
      </c>
      <c r="K4" s="59" t="inlineStr">
        <is>
          <t>รับเงิน/ขอคืน VAT?</t>
        </is>
      </c>
      <c r="L4" s="59" t="inlineStr">
        <is>
          <t>เดือน</t>
        </is>
      </c>
      <c r="M4" s="59" t="inlineStr">
        <is>
          <t>ไฟล์เอกสาร</t>
        </is>
      </c>
      <c r="N4" s="59" t="inlineStr">
        <is>
          <t>OCR Confidence</t>
        </is>
      </c>
      <c r="O4" s="59" t="inlineStr">
        <is>
          <t>รายรับก่อน VAT</t>
        </is>
      </c>
      <c r="P4" s="59" t="inlineStr">
        <is>
          <t>ค่าใช้จ่ายก่อน VAT</t>
        </is>
      </c>
      <c r="Q4" s="59" t="inlineStr">
        <is>
          <t>หมายเหตุ</t>
        </is>
      </c>
      <c r="R4" s="74" t="inlineStr">
        <is>
          <t>ประเภทเอกสาร</t>
        </is>
      </c>
    </row>
    <row r="5">
      <c r="A5" s="60" t="n"/>
      <c r="B5" s="61" t="n"/>
      <c r="C5" s="61" t="n"/>
      <c r="D5" s="61" t="n"/>
      <c r="E5" s="61" t="n"/>
      <c r="F5" s="61" t="n"/>
      <c r="G5" s="62" t="n"/>
      <c r="H5" s="63">
        <f>IF(A5="","",Settings!$B$4)</f>
        <v/>
      </c>
      <c r="I5" s="62">
        <f>IF(G5="","",IF(OR(B5="Revenue",K5="Yes"),ROUND(G5*H5,2),0))</f>
        <v/>
      </c>
      <c r="J5" s="62">
        <f>IF(G5="","",G5+ROUND(G5*H5,2))</f>
        <v/>
      </c>
      <c r="K5" s="61" t="n"/>
      <c r="L5" s="64">
        <f>IF(A5="","",DATE(YEAR(A5),MONTH(A5),1))</f>
        <v/>
      </c>
      <c r="M5" s="61" t="n"/>
      <c r="N5" s="65" t="n"/>
      <c r="O5" s="62">
        <f>IF(B5="Revenue",G5,0)</f>
        <v/>
      </c>
      <c r="P5" s="62">
        <f>IF(B5="Expense",G5,0)</f>
        <v/>
      </c>
      <c r="Q5" s="61" t="n"/>
    </row>
    <row r="6">
      <c r="A6" s="60" t="n"/>
      <c r="B6" s="61" t="n"/>
      <c r="C6" s="61" t="n"/>
      <c r="D6" s="61" t="n"/>
      <c r="E6" s="61" t="n"/>
      <c r="F6" s="61" t="n"/>
      <c r="G6" s="62" t="n"/>
      <c r="H6" s="63">
        <f>IF(A6="","",Settings!$B$4)</f>
        <v/>
      </c>
      <c r="I6" s="62">
        <f>IF(G6="","",IF(OR(B6="Revenue",K6="Yes"),ROUND(G6*H6,2),0))</f>
        <v/>
      </c>
      <c r="J6" s="62">
        <f>IF(G6="","",G6+ROUND(G6*H6,2))</f>
        <v/>
      </c>
      <c r="K6" s="61" t="n"/>
      <c r="L6" s="64">
        <f>IF(A6="","",DATE(YEAR(A6),MONTH(A6),1))</f>
        <v/>
      </c>
      <c r="M6" s="61" t="n"/>
      <c r="N6" s="65" t="n"/>
      <c r="O6" s="62">
        <f>IF(B6="Revenue",G6,0)</f>
        <v/>
      </c>
      <c r="P6" s="62">
        <f>IF(B6="Expense",G6,0)</f>
        <v/>
      </c>
      <c r="Q6" s="61" t="n"/>
    </row>
    <row r="7">
      <c r="A7" s="60" t="n"/>
      <c r="B7" s="61" t="n"/>
      <c r="C7" s="61" t="n"/>
      <c r="D7" s="61" t="n"/>
      <c r="E7" s="61" t="n"/>
      <c r="F7" s="61" t="n"/>
      <c r="G7" s="62" t="n"/>
      <c r="H7" s="63">
        <f>IF(A7="","",Settings!$B$4)</f>
        <v/>
      </c>
      <c r="I7" s="62">
        <f>IF(G7="","",IF(OR(B7="Revenue",K7="Yes"),ROUND(G7*H7,2),0))</f>
        <v/>
      </c>
      <c r="J7" s="62">
        <f>IF(G7="","",G7+ROUND(G7*H7,2))</f>
        <v/>
      </c>
      <c r="K7" s="61" t="n"/>
      <c r="L7" s="64">
        <f>IF(A7="","",DATE(YEAR(A7),MONTH(A7),1))</f>
        <v/>
      </c>
      <c r="M7" s="61" t="n"/>
      <c r="N7" s="65" t="n"/>
      <c r="O7" s="62">
        <f>IF(B7="Revenue",G7,0)</f>
        <v/>
      </c>
      <c r="P7" s="62">
        <f>IF(B7="Expense",G7,0)</f>
        <v/>
      </c>
      <c r="Q7" s="61" t="n"/>
    </row>
    <row r="8">
      <c r="A8" s="60" t="n"/>
      <c r="B8" s="61" t="n"/>
      <c r="C8" s="61" t="n"/>
      <c r="D8" s="61" t="n"/>
      <c r="E8" s="61" t="n"/>
      <c r="F8" s="61" t="n"/>
      <c r="G8" s="62" t="n"/>
      <c r="H8" s="63">
        <f>IF(A8="","",Settings!$B$4)</f>
        <v/>
      </c>
      <c r="I8" s="62">
        <f>IF(G8="","",IF(OR(B8="Revenue",K8="Yes"),ROUND(G8*H8,2),0))</f>
        <v/>
      </c>
      <c r="J8" s="62">
        <f>IF(G8="","",G8+ROUND(G8*H8,2))</f>
        <v/>
      </c>
      <c r="K8" s="61" t="n"/>
      <c r="L8" s="64">
        <f>IF(A8="","",DATE(YEAR(A8),MONTH(A8),1))</f>
        <v/>
      </c>
      <c r="M8" s="61" t="n"/>
      <c r="N8" s="65" t="n"/>
      <c r="O8" s="62">
        <f>IF(B8="Revenue",G8,0)</f>
        <v/>
      </c>
      <c r="P8" s="62">
        <f>IF(B8="Expense",G8,0)</f>
        <v/>
      </c>
      <c r="Q8" s="61" t="n"/>
    </row>
    <row r="9">
      <c r="A9" s="60" t="n"/>
      <c r="B9" s="61" t="n"/>
      <c r="C9" s="61" t="n"/>
      <c r="D9" s="61" t="n"/>
      <c r="E9" s="61" t="n"/>
      <c r="F9" s="61" t="n"/>
      <c r="G9" s="62" t="n"/>
      <c r="H9" s="63">
        <f>IF(A9="","",Settings!$B$4)</f>
        <v/>
      </c>
      <c r="I9" s="62">
        <f>IF(G9="","",IF(OR(B9="Revenue",K9="Yes"),ROUND(G9*H9,2),0))</f>
        <v/>
      </c>
      <c r="J9" s="62">
        <f>IF(G9="","",G9+ROUND(G9*H9,2))</f>
        <v/>
      </c>
      <c r="K9" s="61" t="n"/>
      <c r="L9" s="64">
        <f>IF(A9="","",DATE(YEAR(A9),MONTH(A9),1))</f>
        <v/>
      </c>
      <c r="M9" s="61" t="n"/>
      <c r="N9" s="65" t="n"/>
      <c r="O9" s="62">
        <f>IF(B9="Revenue",G9,0)</f>
        <v/>
      </c>
      <c r="P9" s="62">
        <f>IF(B9="Expense",G9,0)</f>
        <v/>
      </c>
      <c r="Q9" s="61" t="n"/>
    </row>
    <row r="10">
      <c r="A10" s="60" t="n"/>
      <c r="B10" s="61" t="n"/>
      <c r="C10" s="61" t="n"/>
      <c r="D10" s="61" t="n"/>
      <c r="E10" s="61" t="n"/>
      <c r="F10" s="61" t="n"/>
      <c r="G10" s="62" t="n"/>
      <c r="H10" s="63">
        <f>IF(A10="","",Settings!$B$4)</f>
        <v/>
      </c>
      <c r="I10" s="62">
        <f>IF(G10="","",IF(OR(B10="Revenue",K10="Yes"),ROUND(G10*H10,2),0))</f>
        <v/>
      </c>
      <c r="J10" s="62">
        <f>IF(G10="","",G10+ROUND(G10*H10,2))</f>
        <v/>
      </c>
      <c r="K10" s="61" t="n"/>
      <c r="L10" s="64">
        <f>IF(A10="","",DATE(YEAR(A10),MONTH(A10),1))</f>
        <v/>
      </c>
      <c r="M10" s="61" t="n"/>
      <c r="N10" s="65" t="n"/>
      <c r="O10" s="62">
        <f>IF(B10="Revenue",G10,0)</f>
        <v/>
      </c>
      <c r="P10" s="62">
        <f>IF(B10="Expense",G10,0)</f>
        <v/>
      </c>
      <c r="Q10" s="61" t="n"/>
    </row>
    <row r="11">
      <c r="A11" s="60" t="n"/>
      <c r="B11" s="61" t="n"/>
      <c r="C11" s="61" t="n"/>
      <c r="D11" s="61" t="n"/>
      <c r="E11" s="61" t="n"/>
      <c r="F11" s="61" t="n"/>
      <c r="G11" s="62" t="n"/>
      <c r="H11" s="63">
        <f>IF(A11="","",Settings!$B$4)</f>
        <v/>
      </c>
      <c r="I11" s="62">
        <f>IF(G11="","",IF(OR(B11="Revenue",K11="Yes"),ROUND(G11*H11,2),0))</f>
        <v/>
      </c>
      <c r="J11" s="62">
        <f>IF(G11="","",G11+ROUND(G11*H11,2))</f>
        <v/>
      </c>
      <c r="K11" s="61" t="n"/>
      <c r="L11" s="64">
        <f>IF(A11="","",DATE(YEAR(A11),MONTH(A11),1))</f>
        <v/>
      </c>
      <c r="M11" s="61" t="n"/>
      <c r="N11" s="65" t="n"/>
      <c r="O11" s="62">
        <f>IF(B11="Revenue",G11,0)</f>
        <v/>
      </c>
      <c r="P11" s="62">
        <f>IF(B11="Expense",G11,0)</f>
        <v/>
      </c>
      <c r="Q11" s="61" t="n"/>
    </row>
    <row r="12">
      <c r="A12" s="60" t="n"/>
      <c r="B12" s="61" t="n"/>
      <c r="C12" s="61" t="n"/>
      <c r="D12" s="61" t="n"/>
      <c r="E12" s="61" t="n"/>
      <c r="F12" s="61" t="n"/>
      <c r="G12" s="62" t="n"/>
      <c r="H12" s="63">
        <f>IF(A12="","",Settings!$B$4)</f>
        <v/>
      </c>
      <c r="I12" s="62">
        <f>IF(G12="","",IF(OR(B12="Revenue",K12="Yes"),ROUND(G12*H12,2),0))</f>
        <v/>
      </c>
      <c r="J12" s="62">
        <f>IF(G12="","",G12+ROUND(G12*H12,2))</f>
        <v/>
      </c>
      <c r="K12" s="61" t="n"/>
      <c r="L12" s="64">
        <f>IF(A12="","",DATE(YEAR(A12),MONTH(A12),1))</f>
        <v/>
      </c>
      <c r="M12" s="61" t="n"/>
      <c r="N12" s="65" t="n"/>
      <c r="O12" s="62">
        <f>IF(B12="Revenue",G12,0)</f>
        <v/>
      </c>
      <c r="P12" s="62">
        <f>IF(B12="Expense",G12,0)</f>
        <v/>
      </c>
      <c r="Q12" s="61" t="n"/>
    </row>
    <row r="13">
      <c r="A13" s="60" t="n"/>
      <c r="B13" s="61" t="n"/>
      <c r="C13" s="61" t="n"/>
      <c r="D13" s="61" t="n"/>
      <c r="E13" s="61" t="n"/>
      <c r="F13" s="61" t="n"/>
      <c r="G13" s="62" t="n"/>
      <c r="H13" s="63">
        <f>IF(A13="","",Settings!$B$4)</f>
        <v/>
      </c>
      <c r="I13" s="62">
        <f>IF(G13="","",IF(OR(B13="Revenue",K13="Yes"),ROUND(G13*H13,2),0))</f>
        <v/>
      </c>
      <c r="J13" s="62">
        <f>IF(G13="","",G13+ROUND(G13*H13,2))</f>
        <v/>
      </c>
      <c r="K13" s="61" t="n"/>
      <c r="L13" s="64">
        <f>IF(A13="","",DATE(YEAR(A13),MONTH(A13),1))</f>
        <v/>
      </c>
      <c r="M13" s="61" t="n"/>
      <c r="N13" s="65" t="n"/>
      <c r="O13" s="62">
        <f>IF(B13="Revenue",G13,0)</f>
        <v/>
      </c>
      <c r="P13" s="62">
        <f>IF(B13="Expense",G13,0)</f>
        <v/>
      </c>
      <c r="Q13" s="61" t="n"/>
    </row>
    <row r="14">
      <c r="A14" s="60" t="n"/>
      <c r="B14" s="61" t="n"/>
      <c r="C14" s="61" t="n"/>
      <c r="D14" s="61" t="n"/>
      <c r="E14" s="61" t="n"/>
      <c r="F14" s="61" t="n"/>
      <c r="G14" s="62" t="n"/>
      <c r="H14" s="63">
        <f>IF(A14="","",Settings!$B$4)</f>
        <v/>
      </c>
      <c r="I14" s="62">
        <f>IF(G14="","",IF(OR(B14="Revenue",K14="Yes"),ROUND(G14*H14,2),0))</f>
        <v/>
      </c>
      <c r="J14" s="62">
        <f>IF(G14="","",G14+ROUND(G14*H14,2))</f>
        <v/>
      </c>
      <c r="K14" s="61" t="n"/>
      <c r="L14" s="64">
        <f>IF(A14="","",DATE(YEAR(A14),MONTH(A14),1))</f>
        <v/>
      </c>
      <c r="M14" s="61" t="n"/>
      <c r="N14" s="65" t="n"/>
      <c r="O14" s="62">
        <f>IF(B14="Revenue",G14,0)</f>
        <v/>
      </c>
      <c r="P14" s="62">
        <f>IF(B14="Expense",G14,0)</f>
        <v/>
      </c>
      <c r="Q14" s="61" t="n"/>
    </row>
    <row r="15">
      <c r="A15" s="60" t="n"/>
      <c r="B15" s="61" t="n"/>
      <c r="C15" s="61" t="n"/>
      <c r="D15" s="61" t="n"/>
      <c r="E15" s="61" t="n"/>
      <c r="F15" s="61" t="n"/>
      <c r="G15" s="62" t="n"/>
      <c r="H15" s="63">
        <f>IF(A15="","",Settings!$B$4)</f>
        <v/>
      </c>
      <c r="I15" s="62">
        <f>IF(G15="","",IF(OR(B15="Revenue",K15="Yes"),ROUND(G15*H15,2),0))</f>
        <v/>
      </c>
      <c r="J15" s="62">
        <f>IF(G15="","",G15+ROUND(G15*H15,2))</f>
        <v/>
      </c>
      <c r="K15" s="61" t="n"/>
      <c r="L15" s="64">
        <f>IF(A15="","",DATE(YEAR(A15),MONTH(A15),1))</f>
        <v/>
      </c>
      <c r="M15" s="61" t="n"/>
      <c r="N15" s="65" t="n"/>
      <c r="O15" s="62">
        <f>IF(B15="Revenue",G15,0)</f>
        <v/>
      </c>
      <c r="P15" s="62">
        <f>IF(B15="Expense",G15,0)</f>
        <v/>
      </c>
      <c r="Q15" s="61" t="n"/>
    </row>
    <row r="16">
      <c r="A16" s="60" t="n"/>
      <c r="B16" s="61" t="n"/>
      <c r="C16" s="61" t="n"/>
      <c r="D16" s="61" t="n"/>
      <c r="E16" s="61" t="n"/>
      <c r="F16" s="61" t="n"/>
      <c r="G16" s="62" t="n"/>
      <c r="H16" s="63">
        <f>IF(A16="","",Settings!$B$4)</f>
        <v/>
      </c>
      <c r="I16" s="62">
        <f>IF(G16="","",IF(OR(B16="Revenue",K16="Yes"),ROUND(G16*H16,2),0))</f>
        <v/>
      </c>
      <c r="J16" s="62">
        <f>IF(G16="","",G16+ROUND(G16*H16,2))</f>
        <v/>
      </c>
      <c r="K16" s="61" t="n"/>
      <c r="L16" s="64">
        <f>IF(A16="","",DATE(YEAR(A16),MONTH(A16),1))</f>
        <v/>
      </c>
      <c r="M16" s="61" t="n"/>
      <c r="N16" s="65" t="n"/>
      <c r="O16" s="62">
        <f>IF(B16="Revenue",G16,0)</f>
        <v/>
      </c>
      <c r="P16" s="62">
        <f>IF(B16="Expense",G16,0)</f>
        <v/>
      </c>
      <c r="Q16" s="61" t="n"/>
    </row>
    <row r="17">
      <c r="A17" s="60" t="n"/>
      <c r="B17" s="61" t="n"/>
      <c r="C17" s="61" t="n"/>
      <c r="D17" s="61" t="n"/>
      <c r="E17" s="61" t="n"/>
      <c r="F17" s="61" t="n"/>
      <c r="G17" s="62" t="n"/>
      <c r="H17" s="63">
        <f>IF(A17="","",Settings!$B$4)</f>
        <v/>
      </c>
      <c r="I17" s="62">
        <f>IF(G17="","",IF(OR(B17="Revenue",K17="Yes"),ROUND(G17*H17,2),0))</f>
        <v/>
      </c>
      <c r="J17" s="62">
        <f>IF(G17="","",G17+ROUND(G17*H17,2))</f>
        <v/>
      </c>
      <c r="K17" s="61" t="n"/>
      <c r="L17" s="64">
        <f>IF(A17="","",DATE(YEAR(A17),MONTH(A17),1))</f>
        <v/>
      </c>
      <c r="M17" s="61" t="n"/>
      <c r="N17" s="65" t="n"/>
      <c r="O17" s="62">
        <f>IF(B17="Revenue",G17,0)</f>
        <v/>
      </c>
      <c r="P17" s="62">
        <f>IF(B17="Expense",G17,0)</f>
        <v/>
      </c>
      <c r="Q17" s="61" t="n"/>
    </row>
    <row r="18">
      <c r="A18" s="60" t="n"/>
      <c r="B18" s="61" t="n"/>
      <c r="C18" s="61" t="n"/>
      <c r="D18" s="61" t="n"/>
      <c r="E18" s="61" t="n"/>
      <c r="F18" s="61" t="n"/>
      <c r="G18" s="62" t="n"/>
      <c r="H18" s="63">
        <f>IF(A18="","",Settings!$B$4)</f>
        <v/>
      </c>
      <c r="I18" s="62">
        <f>IF(G18="","",IF(OR(B18="Revenue",K18="Yes"),ROUND(G18*H18,2),0))</f>
        <v/>
      </c>
      <c r="J18" s="62">
        <f>IF(G18="","",G18+ROUND(G18*H18,2))</f>
        <v/>
      </c>
      <c r="K18" s="61" t="n"/>
      <c r="L18" s="64">
        <f>IF(A18="","",DATE(YEAR(A18),MONTH(A18),1))</f>
        <v/>
      </c>
      <c r="M18" s="61" t="n"/>
      <c r="N18" s="65" t="n"/>
      <c r="O18" s="62">
        <f>IF(B18="Revenue",G18,0)</f>
        <v/>
      </c>
      <c r="P18" s="62">
        <f>IF(B18="Expense",G18,0)</f>
        <v/>
      </c>
      <c r="Q18" s="61" t="n"/>
    </row>
    <row r="19">
      <c r="A19" s="60" t="n"/>
      <c r="B19" s="61" t="n"/>
      <c r="C19" s="61" t="n"/>
      <c r="D19" s="61" t="n"/>
      <c r="E19" s="61" t="n"/>
      <c r="F19" s="61" t="n"/>
      <c r="G19" s="62" t="n"/>
      <c r="H19" s="63">
        <f>IF(A19="","",Settings!$B$4)</f>
        <v/>
      </c>
      <c r="I19" s="62">
        <f>IF(G19="","",IF(OR(B19="Revenue",K19="Yes"),ROUND(G19*H19,2),0))</f>
        <v/>
      </c>
      <c r="J19" s="62">
        <f>IF(G19="","",G19+ROUND(G19*H19,2))</f>
        <v/>
      </c>
      <c r="K19" s="61" t="n"/>
      <c r="L19" s="64">
        <f>IF(A19="","",DATE(YEAR(A19),MONTH(A19),1))</f>
        <v/>
      </c>
      <c r="M19" s="61" t="n"/>
      <c r="N19" s="65" t="n"/>
      <c r="O19" s="62">
        <f>IF(B19="Revenue",G19,0)</f>
        <v/>
      </c>
      <c r="P19" s="62">
        <f>IF(B19="Expense",G19,0)</f>
        <v/>
      </c>
      <c r="Q19" s="61" t="n"/>
    </row>
    <row r="20">
      <c r="A20" s="60" t="n"/>
      <c r="B20" s="61" t="n"/>
      <c r="C20" s="61" t="n"/>
      <c r="D20" s="61" t="n"/>
      <c r="E20" s="61" t="n"/>
      <c r="F20" s="61" t="n"/>
      <c r="G20" s="62" t="n"/>
      <c r="H20" s="63">
        <f>IF(A20="","",Settings!$B$4)</f>
        <v/>
      </c>
      <c r="I20" s="62">
        <f>IF(G20="","",IF(OR(B20="Revenue",K20="Yes"),ROUND(G20*H20,2),0))</f>
        <v/>
      </c>
      <c r="J20" s="62">
        <f>IF(G20="","",G20+ROUND(G20*H20,2))</f>
        <v/>
      </c>
      <c r="K20" s="61" t="n"/>
      <c r="L20" s="64">
        <f>IF(A20="","",DATE(YEAR(A20),MONTH(A20),1))</f>
        <v/>
      </c>
      <c r="M20" s="61" t="n"/>
      <c r="N20" s="65" t="n"/>
      <c r="O20" s="62">
        <f>IF(B20="Revenue",G20,0)</f>
        <v/>
      </c>
      <c r="P20" s="62">
        <f>IF(B20="Expense",G20,0)</f>
        <v/>
      </c>
      <c r="Q20" s="61" t="n"/>
    </row>
    <row r="21">
      <c r="A21" s="60" t="n"/>
      <c r="B21" s="61" t="n"/>
      <c r="C21" s="61" t="n"/>
      <c r="D21" s="61" t="n"/>
      <c r="E21" s="61" t="n"/>
      <c r="F21" s="61" t="n"/>
      <c r="G21" s="62" t="n"/>
      <c r="H21" s="63">
        <f>IF(A21="","",Settings!$B$4)</f>
        <v/>
      </c>
      <c r="I21" s="62">
        <f>IF(G21="","",IF(OR(B21="Revenue",K21="Yes"),ROUND(G21*H21,2),0))</f>
        <v/>
      </c>
      <c r="J21" s="62">
        <f>IF(G21="","",G21+ROUND(G21*H21,2))</f>
        <v/>
      </c>
      <c r="K21" s="61" t="n"/>
      <c r="L21" s="64">
        <f>IF(A21="","",DATE(YEAR(A21),MONTH(A21),1))</f>
        <v/>
      </c>
      <c r="M21" s="61" t="n"/>
      <c r="N21" s="65" t="n"/>
      <c r="O21" s="62">
        <f>IF(B21="Revenue",G21,0)</f>
        <v/>
      </c>
      <c r="P21" s="62">
        <f>IF(B21="Expense",G21,0)</f>
        <v/>
      </c>
      <c r="Q21" s="61" t="n"/>
    </row>
    <row r="22">
      <c r="A22" s="60" t="n"/>
      <c r="B22" s="61" t="n"/>
      <c r="C22" s="61" t="n"/>
      <c r="D22" s="61" t="n"/>
      <c r="E22" s="61" t="n"/>
      <c r="F22" s="61" t="n"/>
      <c r="G22" s="62" t="n"/>
      <c r="H22" s="63">
        <f>IF(A22="","",Settings!$B$4)</f>
        <v/>
      </c>
      <c r="I22" s="62">
        <f>IF(G22="","",IF(OR(B22="Revenue",K22="Yes"),ROUND(G22*H22,2),0))</f>
        <v/>
      </c>
      <c r="J22" s="62">
        <f>IF(G22="","",G22+ROUND(G22*H22,2))</f>
        <v/>
      </c>
      <c r="K22" s="61" t="n"/>
      <c r="L22" s="64">
        <f>IF(A22="","",DATE(YEAR(A22),MONTH(A22),1))</f>
        <v/>
      </c>
      <c r="M22" s="61" t="n"/>
      <c r="N22" s="65" t="n"/>
      <c r="O22" s="62">
        <f>IF(B22="Revenue",G22,0)</f>
        <v/>
      </c>
      <c r="P22" s="62">
        <f>IF(B22="Expense",G22,0)</f>
        <v/>
      </c>
      <c r="Q22" s="61" t="n"/>
    </row>
    <row r="23">
      <c r="A23" s="60" t="n"/>
      <c r="B23" s="61" t="n"/>
      <c r="C23" s="61" t="n"/>
      <c r="D23" s="61" t="n"/>
      <c r="E23" s="61" t="n"/>
      <c r="F23" s="61" t="n"/>
      <c r="G23" s="62" t="n"/>
      <c r="H23" s="63">
        <f>IF(A23="","",Settings!$B$4)</f>
        <v/>
      </c>
      <c r="I23" s="62">
        <f>IF(G23="","",IF(OR(B23="Revenue",K23="Yes"),ROUND(G23*H23,2),0))</f>
        <v/>
      </c>
      <c r="J23" s="62">
        <f>IF(G23="","",G23+ROUND(G23*H23,2))</f>
        <v/>
      </c>
      <c r="K23" s="61" t="n"/>
      <c r="L23" s="64">
        <f>IF(A23="","",DATE(YEAR(A23),MONTH(A23),1))</f>
        <v/>
      </c>
      <c r="M23" s="61" t="n"/>
      <c r="N23" s="65" t="n"/>
      <c r="O23" s="62">
        <f>IF(B23="Revenue",G23,0)</f>
        <v/>
      </c>
      <c r="P23" s="62">
        <f>IF(B23="Expense",G23,0)</f>
        <v/>
      </c>
      <c r="Q23" s="61" t="n"/>
    </row>
    <row r="24">
      <c r="A24" s="60" t="n"/>
      <c r="B24" s="61" t="n"/>
      <c r="C24" s="61" t="n"/>
      <c r="D24" s="61" t="n"/>
      <c r="E24" s="61" t="n"/>
      <c r="F24" s="61" t="n"/>
      <c r="G24" s="62" t="n"/>
      <c r="H24" s="63">
        <f>IF(A24="","",Settings!$B$4)</f>
        <v/>
      </c>
      <c r="I24" s="62">
        <f>IF(G24="","",IF(OR(B24="Revenue",K24="Yes"),ROUND(G24*H24,2),0))</f>
        <v/>
      </c>
      <c r="J24" s="62">
        <f>IF(G24="","",G24+ROUND(G24*H24,2))</f>
        <v/>
      </c>
      <c r="K24" s="61" t="n"/>
      <c r="L24" s="64">
        <f>IF(A24="","",DATE(YEAR(A24),MONTH(A24),1))</f>
        <v/>
      </c>
      <c r="M24" s="61" t="n"/>
      <c r="N24" s="65" t="n"/>
      <c r="O24" s="62">
        <f>IF(B24="Revenue",G24,0)</f>
        <v/>
      </c>
      <c r="P24" s="62">
        <f>IF(B24="Expense",G24,0)</f>
        <v/>
      </c>
      <c r="Q24" s="61" t="n"/>
    </row>
    <row r="25">
      <c r="A25" s="60" t="n"/>
      <c r="B25" s="61" t="n"/>
      <c r="C25" s="61" t="n"/>
      <c r="D25" s="61" t="n"/>
      <c r="E25" s="61" t="n"/>
      <c r="F25" s="61" t="n"/>
      <c r="G25" s="62" t="n"/>
      <c r="H25" s="63">
        <f>IF(A25="","",Settings!$B$4)</f>
        <v/>
      </c>
      <c r="I25" s="62">
        <f>IF(G25="","",IF(OR(B25="Revenue",K25="Yes"),ROUND(G25*H25,2),0))</f>
        <v/>
      </c>
      <c r="J25" s="62">
        <f>IF(G25="","",G25+ROUND(G25*H25,2))</f>
        <v/>
      </c>
      <c r="K25" s="61" t="n"/>
      <c r="L25" s="64">
        <f>IF(A25="","",DATE(YEAR(A25),MONTH(A25),1))</f>
        <v/>
      </c>
      <c r="M25" s="61" t="n"/>
      <c r="N25" s="65" t="n"/>
      <c r="O25" s="62">
        <f>IF(B25="Revenue",G25,0)</f>
        <v/>
      </c>
      <c r="P25" s="62">
        <f>IF(B25="Expense",G25,0)</f>
        <v/>
      </c>
      <c r="Q25" s="61" t="n"/>
    </row>
    <row r="26">
      <c r="A26" s="60" t="n"/>
      <c r="B26" s="61" t="n"/>
      <c r="C26" s="61" t="n"/>
      <c r="D26" s="61" t="n"/>
      <c r="E26" s="61" t="n"/>
      <c r="F26" s="61" t="n"/>
      <c r="G26" s="62" t="n"/>
      <c r="H26" s="63">
        <f>IF(A26="","",Settings!$B$4)</f>
        <v/>
      </c>
      <c r="I26" s="62">
        <f>IF(G26="","",IF(OR(B26="Revenue",K26="Yes"),ROUND(G26*H26,2),0))</f>
        <v/>
      </c>
      <c r="J26" s="62">
        <f>IF(G26="","",G26+ROUND(G26*H26,2))</f>
        <v/>
      </c>
      <c r="K26" s="61" t="n"/>
      <c r="L26" s="64">
        <f>IF(A26="","",DATE(YEAR(A26),MONTH(A26),1))</f>
        <v/>
      </c>
      <c r="M26" s="61" t="n"/>
      <c r="N26" s="65" t="n"/>
      <c r="O26" s="62">
        <f>IF(B26="Revenue",G26,0)</f>
        <v/>
      </c>
      <c r="P26" s="62">
        <f>IF(B26="Expense",G26,0)</f>
        <v/>
      </c>
      <c r="Q26" s="61" t="n"/>
    </row>
    <row r="27">
      <c r="A27" s="60" t="n"/>
      <c r="B27" s="61" t="n"/>
      <c r="C27" s="61" t="n"/>
      <c r="D27" s="61" t="n"/>
      <c r="E27" s="61" t="n"/>
      <c r="F27" s="61" t="n"/>
      <c r="G27" s="62" t="n"/>
      <c r="H27" s="63">
        <f>IF(A27="","",Settings!$B$4)</f>
        <v/>
      </c>
      <c r="I27" s="62">
        <f>IF(G27="","",IF(OR(B27="Revenue",K27="Yes"),ROUND(G27*H27,2),0))</f>
        <v/>
      </c>
      <c r="J27" s="62">
        <f>IF(G27="","",G27+ROUND(G27*H27,2))</f>
        <v/>
      </c>
      <c r="K27" s="61" t="n"/>
      <c r="L27" s="64">
        <f>IF(A27="","",DATE(YEAR(A27),MONTH(A27),1))</f>
        <v/>
      </c>
      <c r="M27" s="61" t="n"/>
      <c r="N27" s="65" t="n"/>
      <c r="O27" s="62">
        <f>IF(B27="Revenue",G27,0)</f>
        <v/>
      </c>
      <c r="P27" s="62">
        <f>IF(B27="Expense",G27,0)</f>
        <v/>
      </c>
      <c r="Q27" s="61" t="n"/>
    </row>
    <row r="28">
      <c r="A28" s="60" t="n"/>
      <c r="B28" s="61" t="n"/>
      <c r="C28" s="61" t="n"/>
      <c r="D28" s="61" t="n"/>
      <c r="E28" s="61" t="n"/>
      <c r="F28" s="61" t="n"/>
      <c r="G28" s="62" t="n"/>
      <c r="H28" s="63">
        <f>IF(A28="","",Settings!$B$4)</f>
        <v/>
      </c>
      <c r="I28" s="62">
        <f>IF(G28="","",IF(OR(B28="Revenue",K28="Yes"),ROUND(G28*H28,2),0))</f>
        <v/>
      </c>
      <c r="J28" s="62">
        <f>IF(G28="","",G28+ROUND(G28*H28,2))</f>
        <v/>
      </c>
      <c r="K28" s="61" t="n"/>
      <c r="L28" s="64">
        <f>IF(A28="","",DATE(YEAR(A28),MONTH(A28),1))</f>
        <v/>
      </c>
      <c r="M28" s="61" t="n"/>
      <c r="N28" s="65" t="n"/>
      <c r="O28" s="62">
        <f>IF(B28="Revenue",G28,0)</f>
        <v/>
      </c>
      <c r="P28" s="62">
        <f>IF(B28="Expense",G28,0)</f>
        <v/>
      </c>
      <c r="Q28" s="61" t="n"/>
    </row>
    <row r="29">
      <c r="A29" s="60" t="n"/>
      <c r="B29" s="61" t="n"/>
      <c r="C29" s="61" t="n"/>
      <c r="D29" s="61" t="n"/>
      <c r="E29" s="61" t="n"/>
      <c r="F29" s="61" t="n"/>
      <c r="G29" s="62" t="n"/>
      <c r="H29" s="63">
        <f>IF(A29="","",Settings!$B$4)</f>
        <v/>
      </c>
      <c r="I29" s="62">
        <f>IF(G29="","",IF(OR(B29="Revenue",K29="Yes"),ROUND(G29*H29,2),0))</f>
        <v/>
      </c>
      <c r="J29" s="62">
        <f>IF(G29="","",G29+ROUND(G29*H29,2))</f>
        <v/>
      </c>
      <c r="K29" s="61" t="n"/>
      <c r="L29" s="64">
        <f>IF(A29="","",DATE(YEAR(A29),MONTH(A29),1))</f>
        <v/>
      </c>
      <c r="M29" s="61" t="n"/>
      <c r="N29" s="65" t="n"/>
      <c r="O29" s="62">
        <f>IF(B29="Revenue",G29,0)</f>
        <v/>
      </c>
      <c r="P29" s="62">
        <f>IF(B29="Expense",G29,0)</f>
        <v/>
      </c>
      <c r="Q29" s="61" t="n"/>
    </row>
    <row r="30">
      <c r="A30" s="60" t="n"/>
      <c r="B30" s="61" t="n"/>
      <c r="C30" s="61" t="n"/>
      <c r="D30" s="61" t="n"/>
      <c r="E30" s="61" t="n"/>
      <c r="F30" s="61" t="n"/>
      <c r="G30" s="62" t="n"/>
      <c r="H30" s="63">
        <f>IF(A30="","",Settings!$B$4)</f>
        <v/>
      </c>
      <c r="I30" s="62">
        <f>IF(G30="","",IF(OR(B30="Revenue",K30="Yes"),ROUND(G30*H30,2),0))</f>
        <v/>
      </c>
      <c r="J30" s="62">
        <f>IF(G30="","",G30+ROUND(G30*H30,2))</f>
        <v/>
      </c>
      <c r="K30" s="61" t="n"/>
      <c r="L30" s="64">
        <f>IF(A30="","",DATE(YEAR(A30),MONTH(A30),1))</f>
        <v/>
      </c>
      <c r="M30" s="61" t="n"/>
      <c r="N30" s="65" t="n"/>
      <c r="O30" s="62">
        <f>IF(B30="Revenue",G30,0)</f>
        <v/>
      </c>
      <c r="P30" s="62">
        <f>IF(B30="Expense",G30,0)</f>
        <v/>
      </c>
      <c r="Q30" s="61" t="n"/>
    </row>
    <row r="31">
      <c r="A31" s="60" t="n"/>
      <c r="B31" s="61" t="n"/>
      <c r="C31" s="61" t="n"/>
      <c r="D31" s="61" t="n"/>
      <c r="E31" s="61" t="n"/>
      <c r="F31" s="61" t="n"/>
      <c r="G31" s="62" t="n"/>
      <c r="H31" s="63">
        <f>IF(A31="","",Settings!$B$4)</f>
        <v/>
      </c>
      <c r="I31" s="62">
        <f>IF(G31="","",IF(OR(B31="Revenue",K31="Yes"),ROUND(G31*H31,2),0))</f>
        <v/>
      </c>
      <c r="J31" s="62">
        <f>IF(G31="","",G31+ROUND(G31*H31,2))</f>
        <v/>
      </c>
      <c r="K31" s="61" t="n"/>
      <c r="L31" s="64">
        <f>IF(A31="","",DATE(YEAR(A31),MONTH(A31),1))</f>
        <v/>
      </c>
      <c r="M31" s="61" t="n"/>
      <c r="N31" s="65" t="n"/>
      <c r="O31" s="62">
        <f>IF(B31="Revenue",G31,0)</f>
        <v/>
      </c>
      <c r="P31" s="62">
        <f>IF(B31="Expense",G31,0)</f>
        <v/>
      </c>
      <c r="Q31" s="61" t="n"/>
    </row>
    <row r="32">
      <c r="A32" s="60" t="n"/>
      <c r="B32" s="61" t="n"/>
      <c r="C32" s="61" t="n"/>
      <c r="D32" s="61" t="n"/>
      <c r="E32" s="61" t="n"/>
      <c r="F32" s="61" t="n"/>
      <c r="G32" s="62" t="n"/>
      <c r="H32" s="63">
        <f>IF(A32="","",Settings!$B$4)</f>
        <v/>
      </c>
      <c r="I32" s="62">
        <f>IF(G32="","",IF(OR(B32="Revenue",K32="Yes"),ROUND(G32*H32,2),0))</f>
        <v/>
      </c>
      <c r="J32" s="62">
        <f>IF(G32="","",G32+ROUND(G32*H32,2))</f>
        <v/>
      </c>
      <c r="K32" s="61" t="n"/>
      <c r="L32" s="64">
        <f>IF(A32="","",DATE(YEAR(A32),MONTH(A32),1))</f>
        <v/>
      </c>
      <c r="M32" s="61" t="n"/>
      <c r="N32" s="65" t="n"/>
      <c r="O32" s="62">
        <f>IF(B32="Revenue",G32,0)</f>
        <v/>
      </c>
      <c r="P32" s="62">
        <f>IF(B32="Expense",G32,0)</f>
        <v/>
      </c>
      <c r="Q32" s="61" t="n"/>
    </row>
    <row r="33">
      <c r="A33" s="60" t="n"/>
      <c r="B33" s="61" t="n"/>
      <c r="C33" s="61" t="n"/>
      <c r="D33" s="61" t="n"/>
      <c r="E33" s="61" t="n"/>
      <c r="F33" s="61" t="n"/>
      <c r="G33" s="62" t="n"/>
      <c r="H33" s="63">
        <f>IF(A33="","",Settings!$B$4)</f>
        <v/>
      </c>
      <c r="I33" s="62">
        <f>IF(G33="","",IF(OR(B33="Revenue",K33="Yes"),ROUND(G33*H33,2),0))</f>
        <v/>
      </c>
      <c r="J33" s="62">
        <f>IF(G33="","",G33+ROUND(G33*H33,2))</f>
        <v/>
      </c>
      <c r="K33" s="61" t="n"/>
      <c r="L33" s="64">
        <f>IF(A33="","",DATE(YEAR(A33),MONTH(A33),1))</f>
        <v/>
      </c>
      <c r="M33" s="61" t="n"/>
      <c r="N33" s="65" t="n"/>
      <c r="O33" s="62">
        <f>IF(B33="Revenue",G33,0)</f>
        <v/>
      </c>
      <c r="P33" s="62">
        <f>IF(B33="Expense",G33,0)</f>
        <v/>
      </c>
      <c r="Q33" s="61" t="n"/>
    </row>
    <row r="34">
      <c r="A34" s="60" t="n"/>
      <c r="B34" s="61" t="n"/>
      <c r="C34" s="61" t="n"/>
      <c r="D34" s="61" t="n"/>
      <c r="E34" s="61" t="n"/>
      <c r="F34" s="61" t="n"/>
      <c r="G34" s="62" t="n"/>
      <c r="H34" s="63">
        <f>IF(A34="","",Settings!$B$4)</f>
        <v/>
      </c>
      <c r="I34" s="62">
        <f>IF(G34="","",IF(OR(B34="Revenue",K34="Yes"),ROUND(G34*H34,2),0))</f>
        <v/>
      </c>
      <c r="J34" s="62">
        <f>IF(G34="","",G34+ROUND(G34*H34,2))</f>
        <v/>
      </c>
      <c r="K34" s="61" t="n"/>
      <c r="L34" s="64">
        <f>IF(A34="","",DATE(YEAR(A34),MONTH(A34),1))</f>
        <v/>
      </c>
      <c r="M34" s="61" t="n"/>
      <c r="N34" s="65" t="n"/>
      <c r="O34" s="62">
        <f>IF(B34="Revenue",G34,0)</f>
        <v/>
      </c>
      <c r="P34" s="62">
        <f>IF(B34="Expense",G34,0)</f>
        <v/>
      </c>
      <c r="Q34" s="61" t="n"/>
    </row>
    <row r="35"/>
    <row r="36">
      <c r="A36" s="58" t="inlineStr">
        <is>
          <t>February 2026 / เดือน Feb</t>
        </is>
      </c>
    </row>
    <row r="37">
      <c r="A37" s="59" t="inlineStr">
        <is>
          <t>วันที่</t>
        </is>
      </c>
      <c r="B37" s="59" t="inlineStr">
        <is>
          <t>ประเภท</t>
        </is>
      </c>
      <c r="C37" s="59" t="inlineStr">
        <is>
          <t>เลขที่เอกสาร</t>
        </is>
      </c>
      <c r="D37" s="59" t="inlineStr">
        <is>
          <t>ลูกค้า/ผู้ขาย</t>
        </is>
      </c>
      <c r="E37" s="59" t="inlineStr">
        <is>
          <t>รายละเอียด</t>
        </is>
      </c>
      <c r="F37" s="59" t="inlineStr">
        <is>
          <t>หมวด</t>
        </is>
      </c>
      <c r="G37" s="59" t="inlineStr">
        <is>
          <t>ยอดก่อน VAT</t>
        </is>
      </c>
      <c r="H37" s="59" t="inlineStr">
        <is>
          <t>อัตรา VAT</t>
        </is>
      </c>
      <c r="I37" s="59" t="inlineStr">
        <is>
          <t>VAT</t>
        </is>
      </c>
      <c r="J37" s="59" t="inlineStr">
        <is>
          <t>ยอดรวม</t>
        </is>
      </c>
      <c r="K37" s="59" t="inlineStr">
        <is>
          <t>รับเงิน/ขอคืน VAT?</t>
        </is>
      </c>
      <c r="L37" s="59" t="inlineStr">
        <is>
          <t>เดือน</t>
        </is>
      </c>
      <c r="M37" s="59" t="inlineStr">
        <is>
          <t>ไฟล์เอกสาร</t>
        </is>
      </c>
      <c r="N37" s="59" t="inlineStr">
        <is>
          <t>OCR Confidence</t>
        </is>
      </c>
      <c r="O37" s="59" t="inlineStr">
        <is>
          <t>รายรับก่อน VAT</t>
        </is>
      </c>
      <c r="P37" s="59" t="inlineStr">
        <is>
          <t>ค่าใช้จ่ายก่อน VAT</t>
        </is>
      </c>
      <c r="Q37" s="59" t="inlineStr">
        <is>
          <t>หมายเหตุ</t>
        </is>
      </c>
      <c r="R37" s="74" t="inlineStr">
        <is>
          <t>ประเภทเอกสาร</t>
        </is>
      </c>
    </row>
    <row r="38">
      <c r="A38" s="60" t="n"/>
      <c r="B38" s="61" t="n"/>
      <c r="C38" s="61" t="n"/>
      <c r="D38" s="61" t="n"/>
      <c r="E38" s="61" t="n"/>
      <c r="F38" s="61" t="n"/>
      <c r="G38" s="62" t="n"/>
      <c r="H38" s="63">
        <f>IF(A38="","",Settings!$B$4)</f>
        <v/>
      </c>
      <c r="I38" s="62">
        <f>IF(G38="","",IF(OR(B38="Revenue",K38="Yes"),ROUND(G38*H38,2),0))</f>
        <v/>
      </c>
      <c r="J38" s="62">
        <f>IF(G38="","",G38+ROUND(G38*H38,2))</f>
        <v/>
      </c>
      <c r="K38" s="61" t="n"/>
      <c r="L38" s="64">
        <f>IF(A38="","",DATE(YEAR(A38),MONTH(A38),1))</f>
        <v/>
      </c>
      <c r="M38" s="61" t="n"/>
      <c r="N38" s="65" t="n"/>
      <c r="O38" s="62">
        <f>IF(B38="Revenue",G38,0)</f>
        <v/>
      </c>
      <c r="P38" s="62">
        <f>IF(B38="Expense",G38,0)</f>
        <v/>
      </c>
      <c r="Q38" s="61" t="n"/>
    </row>
    <row r="39">
      <c r="A39" s="60" t="n"/>
      <c r="B39" s="61" t="n"/>
      <c r="C39" s="61" t="n"/>
      <c r="D39" s="61" t="n"/>
      <c r="E39" s="61" t="n"/>
      <c r="F39" s="61" t="n"/>
      <c r="G39" s="62" t="n"/>
      <c r="H39" s="63">
        <f>IF(A39="","",Settings!$B$4)</f>
        <v/>
      </c>
      <c r="I39" s="62">
        <f>IF(G39="","",IF(OR(B39="Revenue",K39="Yes"),ROUND(G39*H39,2),0))</f>
        <v/>
      </c>
      <c r="J39" s="62">
        <f>IF(G39="","",G39+ROUND(G39*H39,2))</f>
        <v/>
      </c>
      <c r="K39" s="61" t="n"/>
      <c r="L39" s="64">
        <f>IF(A39="","",DATE(YEAR(A39),MONTH(A39),1))</f>
        <v/>
      </c>
      <c r="M39" s="61" t="n"/>
      <c r="N39" s="65" t="n"/>
      <c r="O39" s="62">
        <f>IF(B39="Revenue",G39,0)</f>
        <v/>
      </c>
      <c r="P39" s="62">
        <f>IF(B39="Expense",G39,0)</f>
        <v/>
      </c>
      <c r="Q39" s="61" t="n"/>
    </row>
    <row r="40">
      <c r="A40" s="60" t="n"/>
      <c r="B40" s="61" t="n"/>
      <c r="C40" s="61" t="n"/>
      <c r="D40" s="61" t="n"/>
      <c r="E40" s="61" t="n"/>
      <c r="F40" s="61" t="n"/>
      <c r="G40" s="62" t="n"/>
      <c r="H40" s="63">
        <f>IF(A40="","",Settings!$B$4)</f>
        <v/>
      </c>
      <c r="I40" s="62">
        <f>IF(G40="","",IF(OR(B40="Revenue",K40="Yes"),ROUND(G40*H40,2),0))</f>
        <v/>
      </c>
      <c r="J40" s="62">
        <f>IF(G40="","",G40+ROUND(G40*H40,2))</f>
        <v/>
      </c>
      <c r="K40" s="61" t="n"/>
      <c r="L40" s="64">
        <f>IF(A40="","",DATE(YEAR(A40),MONTH(A40),1))</f>
        <v/>
      </c>
      <c r="M40" s="61" t="n"/>
      <c r="N40" s="65" t="n"/>
      <c r="O40" s="62">
        <f>IF(B40="Revenue",G40,0)</f>
        <v/>
      </c>
      <c r="P40" s="62">
        <f>IF(B40="Expense",G40,0)</f>
        <v/>
      </c>
      <c r="Q40" s="61" t="n"/>
    </row>
    <row r="41">
      <c r="A41" s="60" t="n"/>
      <c r="B41" s="61" t="n"/>
      <c r="C41" s="61" t="n"/>
      <c r="D41" s="61" t="n"/>
      <c r="E41" s="61" t="n"/>
      <c r="F41" s="61" t="n"/>
      <c r="G41" s="62" t="n"/>
      <c r="H41" s="63">
        <f>IF(A41="","",Settings!$B$4)</f>
        <v/>
      </c>
      <c r="I41" s="62">
        <f>IF(G41="","",IF(OR(B41="Revenue",K41="Yes"),ROUND(G41*H41,2),0))</f>
        <v/>
      </c>
      <c r="J41" s="62">
        <f>IF(G41="","",G41+ROUND(G41*H41,2))</f>
        <v/>
      </c>
      <c r="K41" s="61" t="n"/>
      <c r="L41" s="64">
        <f>IF(A41="","",DATE(YEAR(A41),MONTH(A41),1))</f>
        <v/>
      </c>
      <c r="M41" s="61" t="n"/>
      <c r="N41" s="65" t="n"/>
      <c r="O41" s="62">
        <f>IF(B41="Revenue",G41,0)</f>
        <v/>
      </c>
      <c r="P41" s="62">
        <f>IF(B41="Expense",G41,0)</f>
        <v/>
      </c>
      <c r="Q41" s="61" t="n"/>
    </row>
    <row r="42">
      <c r="A42" s="60" t="n"/>
      <c r="B42" s="61" t="n"/>
      <c r="C42" s="61" t="n"/>
      <c r="D42" s="61" t="n"/>
      <c r="E42" s="61" t="n"/>
      <c r="F42" s="61" t="n"/>
      <c r="G42" s="62" t="n"/>
      <c r="H42" s="63">
        <f>IF(A42="","",Settings!$B$4)</f>
        <v/>
      </c>
      <c r="I42" s="62">
        <f>IF(G42="","",IF(OR(B42="Revenue",K42="Yes"),ROUND(G42*H42,2),0))</f>
        <v/>
      </c>
      <c r="J42" s="62">
        <f>IF(G42="","",G42+ROUND(G42*H42,2))</f>
        <v/>
      </c>
      <c r="K42" s="61" t="n"/>
      <c r="L42" s="64">
        <f>IF(A42="","",DATE(YEAR(A42),MONTH(A42),1))</f>
        <v/>
      </c>
      <c r="M42" s="61" t="n"/>
      <c r="N42" s="65" t="n"/>
      <c r="O42" s="62">
        <f>IF(B42="Revenue",G42,0)</f>
        <v/>
      </c>
      <c r="P42" s="62">
        <f>IF(B42="Expense",G42,0)</f>
        <v/>
      </c>
      <c r="Q42" s="61" t="n"/>
    </row>
    <row r="43">
      <c r="A43" s="60" t="n"/>
      <c r="B43" s="61" t="n"/>
      <c r="C43" s="61" t="n"/>
      <c r="D43" s="61" t="n"/>
      <c r="E43" s="61" t="n"/>
      <c r="F43" s="61" t="n"/>
      <c r="G43" s="62" t="n"/>
      <c r="H43" s="63">
        <f>IF(A43="","",Settings!$B$4)</f>
        <v/>
      </c>
      <c r="I43" s="62">
        <f>IF(G43="","",IF(OR(B43="Revenue",K43="Yes"),ROUND(G43*H43,2),0))</f>
        <v/>
      </c>
      <c r="J43" s="62">
        <f>IF(G43="","",G43+ROUND(G43*H43,2))</f>
        <v/>
      </c>
      <c r="K43" s="61" t="n"/>
      <c r="L43" s="64">
        <f>IF(A43="","",DATE(YEAR(A43),MONTH(A43),1))</f>
        <v/>
      </c>
      <c r="M43" s="61" t="n"/>
      <c r="N43" s="65" t="n"/>
      <c r="O43" s="62">
        <f>IF(B43="Revenue",G43,0)</f>
        <v/>
      </c>
      <c r="P43" s="62">
        <f>IF(B43="Expense",G43,0)</f>
        <v/>
      </c>
      <c r="Q43" s="61" t="n"/>
    </row>
    <row r="44">
      <c r="A44" s="60" t="n"/>
      <c r="B44" s="61" t="n"/>
      <c r="C44" s="61" t="n"/>
      <c r="D44" s="61" t="n"/>
      <c r="E44" s="61" t="n"/>
      <c r="F44" s="61" t="n"/>
      <c r="G44" s="62" t="n"/>
      <c r="H44" s="63">
        <f>IF(A44="","",Settings!$B$4)</f>
        <v/>
      </c>
      <c r="I44" s="62">
        <f>IF(G44="","",IF(OR(B44="Revenue",K44="Yes"),ROUND(G44*H44,2),0))</f>
        <v/>
      </c>
      <c r="J44" s="62">
        <f>IF(G44="","",G44+ROUND(G44*H44,2))</f>
        <v/>
      </c>
      <c r="K44" s="61" t="n"/>
      <c r="L44" s="64">
        <f>IF(A44="","",DATE(YEAR(A44),MONTH(A44),1))</f>
        <v/>
      </c>
      <c r="M44" s="61" t="n"/>
      <c r="N44" s="65" t="n"/>
      <c r="O44" s="62">
        <f>IF(B44="Revenue",G44,0)</f>
        <v/>
      </c>
      <c r="P44" s="62">
        <f>IF(B44="Expense",G44,0)</f>
        <v/>
      </c>
      <c r="Q44" s="61" t="n"/>
    </row>
    <row r="45">
      <c r="A45" s="60" t="n"/>
      <c r="B45" s="61" t="n"/>
      <c r="C45" s="61" t="n"/>
      <c r="D45" s="61" t="n"/>
      <c r="E45" s="61" t="n"/>
      <c r="F45" s="61" t="n"/>
      <c r="G45" s="62" t="n"/>
      <c r="H45" s="63">
        <f>IF(A45="","",Settings!$B$4)</f>
        <v/>
      </c>
      <c r="I45" s="62">
        <f>IF(G45="","",IF(OR(B45="Revenue",K45="Yes"),ROUND(G45*H45,2),0))</f>
        <v/>
      </c>
      <c r="J45" s="62">
        <f>IF(G45="","",G45+ROUND(G45*H45,2))</f>
        <v/>
      </c>
      <c r="K45" s="61" t="n"/>
      <c r="L45" s="64">
        <f>IF(A45="","",DATE(YEAR(A45),MONTH(A45),1))</f>
        <v/>
      </c>
      <c r="M45" s="61" t="n"/>
      <c r="N45" s="65" t="n"/>
      <c r="O45" s="62">
        <f>IF(B45="Revenue",G45,0)</f>
        <v/>
      </c>
      <c r="P45" s="62">
        <f>IF(B45="Expense",G45,0)</f>
        <v/>
      </c>
      <c r="Q45" s="61" t="n"/>
    </row>
    <row r="46">
      <c r="A46" s="60" t="n"/>
      <c r="B46" s="61" t="n"/>
      <c r="C46" s="61" t="n"/>
      <c r="D46" s="61" t="n"/>
      <c r="E46" s="61" t="n"/>
      <c r="F46" s="61" t="n"/>
      <c r="G46" s="62" t="n"/>
      <c r="H46" s="63">
        <f>IF(A46="","",Settings!$B$4)</f>
        <v/>
      </c>
      <c r="I46" s="62">
        <f>IF(G46="","",IF(OR(B46="Revenue",K46="Yes"),ROUND(G46*H46,2),0))</f>
        <v/>
      </c>
      <c r="J46" s="62">
        <f>IF(G46="","",G46+ROUND(G46*H46,2))</f>
        <v/>
      </c>
      <c r="K46" s="61" t="n"/>
      <c r="L46" s="64">
        <f>IF(A46="","",DATE(YEAR(A46),MONTH(A46),1))</f>
        <v/>
      </c>
      <c r="M46" s="61" t="n"/>
      <c r="N46" s="65" t="n"/>
      <c r="O46" s="62">
        <f>IF(B46="Revenue",G46,0)</f>
        <v/>
      </c>
      <c r="P46" s="62">
        <f>IF(B46="Expense",G46,0)</f>
        <v/>
      </c>
      <c r="Q46" s="61" t="n"/>
    </row>
    <row r="47">
      <c r="A47" s="60" t="n"/>
      <c r="B47" s="61" t="n"/>
      <c r="C47" s="61" t="n"/>
      <c r="D47" s="61" t="n"/>
      <c r="E47" s="61" t="n"/>
      <c r="F47" s="61" t="n"/>
      <c r="G47" s="62" t="n"/>
      <c r="H47" s="63">
        <f>IF(A47="","",Settings!$B$4)</f>
        <v/>
      </c>
      <c r="I47" s="62">
        <f>IF(G47="","",IF(OR(B47="Revenue",K47="Yes"),ROUND(G47*H47,2),0))</f>
        <v/>
      </c>
      <c r="J47" s="62">
        <f>IF(G47="","",G47+ROUND(G47*H47,2))</f>
        <v/>
      </c>
      <c r="K47" s="61" t="n"/>
      <c r="L47" s="64">
        <f>IF(A47="","",DATE(YEAR(A47),MONTH(A47),1))</f>
        <v/>
      </c>
      <c r="M47" s="61" t="n"/>
      <c r="N47" s="65" t="n"/>
      <c r="O47" s="62">
        <f>IF(B47="Revenue",G47,0)</f>
        <v/>
      </c>
      <c r="P47" s="62">
        <f>IF(B47="Expense",G47,0)</f>
        <v/>
      </c>
      <c r="Q47" s="61" t="n"/>
    </row>
    <row r="48">
      <c r="A48" s="60" t="n"/>
      <c r="B48" s="61" t="n"/>
      <c r="C48" s="61" t="n"/>
      <c r="D48" s="61" t="n"/>
      <c r="E48" s="61" t="n"/>
      <c r="F48" s="61" t="n"/>
      <c r="G48" s="62" t="n"/>
      <c r="H48" s="63">
        <f>IF(A48="","",Settings!$B$4)</f>
        <v/>
      </c>
      <c r="I48" s="62">
        <f>IF(G48="","",IF(OR(B48="Revenue",K48="Yes"),ROUND(G48*H48,2),0))</f>
        <v/>
      </c>
      <c r="J48" s="62">
        <f>IF(G48="","",G48+ROUND(G48*H48,2))</f>
        <v/>
      </c>
      <c r="K48" s="61" t="n"/>
      <c r="L48" s="64">
        <f>IF(A48="","",DATE(YEAR(A48),MONTH(A48),1))</f>
        <v/>
      </c>
      <c r="M48" s="61" t="n"/>
      <c r="N48" s="65" t="n"/>
      <c r="O48" s="62">
        <f>IF(B48="Revenue",G48,0)</f>
        <v/>
      </c>
      <c r="P48" s="62">
        <f>IF(B48="Expense",G48,0)</f>
        <v/>
      </c>
      <c r="Q48" s="61" t="n"/>
    </row>
    <row r="49">
      <c r="A49" s="60" t="n"/>
      <c r="B49" s="61" t="n"/>
      <c r="C49" s="61" t="n"/>
      <c r="D49" s="61" t="n"/>
      <c r="E49" s="61" t="n"/>
      <c r="F49" s="61" t="n"/>
      <c r="G49" s="62" t="n"/>
      <c r="H49" s="63">
        <f>IF(A49="","",Settings!$B$4)</f>
        <v/>
      </c>
      <c r="I49" s="62">
        <f>IF(G49="","",IF(OR(B49="Revenue",K49="Yes"),ROUND(G49*H49,2),0))</f>
        <v/>
      </c>
      <c r="J49" s="62">
        <f>IF(G49="","",G49+ROUND(G49*H49,2))</f>
        <v/>
      </c>
      <c r="K49" s="61" t="n"/>
      <c r="L49" s="64">
        <f>IF(A49="","",DATE(YEAR(A49),MONTH(A49),1))</f>
        <v/>
      </c>
      <c r="M49" s="61" t="n"/>
      <c r="N49" s="65" t="n"/>
      <c r="O49" s="62">
        <f>IF(B49="Revenue",G49,0)</f>
        <v/>
      </c>
      <c r="P49" s="62">
        <f>IF(B49="Expense",G49,0)</f>
        <v/>
      </c>
      <c r="Q49" s="61" t="n"/>
    </row>
    <row r="50">
      <c r="A50" s="60" t="n"/>
      <c r="B50" s="61" t="n"/>
      <c r="C50" s="61" t="n"/>
      <c r="D50" s="61" t="n"/>
      <c r="E50" s="61" t="n"/>
      <c r="F50" s="61" t="n"/>
      <c r="G50" s="62" t="n"/>
      <c r="H50" s="63">
        <f>IF(A50="","",Settings!$B$4)</f>
        <v/>
      </c>
      <c r="I50" s="62">
        <f>IF(G50="","",IF(OR(B50="Revenue",K50="Yes"),ROUND(G50*H50,2),0))</f>
        <v/>
      </c>
      <c r="J50" s="62">
        <f>IF(G50="","",G50+ROUND(G50*H50,2))</f>
        <v/>
      </c>
      <c r="K50" s="61" t="n"/>
      <c r="L50" s="64">
        <f>IF(A50="","",DATE(YEAR(A50),MONTH(A50),1))</f>
        <v/>
      </c>
      <c r="M50" s="61" t="n"/>
      <c r="N50" s="65" t="n"/>
      <c r="O50" s="62">
        <f>IF(B50="Revenue",G50,0)</f>
        <v/>
      </c>
      <c r="P50" s="62">
        <f>IF(B50="Expense",G50,0)</f>
        <v/>
      </c>
      <c r="Q50" s="61" t="n"/>
    </row>
    <row r="51">
      <c r="A51" s="60" t="n"/>
      <c r="B51" s="61" t="n"/>
      <c r="C51" s="61" t="n"/>
      <c r="D51" s="61" t="n"/>
      <c r="E51" s="61" t="n"/>
      <c r="F51" s="61" t="n"/>
      <c r="G51" s="62" t="n"/>
      <c r="H51" s="63">
        <f>IF(A51="","",Settings!$B$4)</f>
        <v/>
      </c>
      <c r="I51" s="62">
        <f>IF(G51="","",IF(OR(B51="Revenue",K51="Yes"),ROUND(G51*H51,2),0))</f>
        <v/>
      </c>
      <c r="J51" s="62">
        <f>IF(G51="","",G51+ROUND(G51*H51,2))</f>
        <v/>
      </c>
      <c r="K51" s="61" t="n"/>
      <c r="L51" s="64">
        <f>IF(A51="","",DATE(YEAR(A51),MONTH(A51),1))</f>
        <v/>
      </c>
      <c r="M51" s="61" t="n"/>
      <c r="N51" s="65" t="n"/>
      <c r="O51" s="62">
        <f>IF(B51="Revenue",G51,0)</f>
        <v/>
      </c>
      <c r="P51" s="62">
        <f>IF(B51="Expense",G51,0)</f>
        <v/>
      </c>
      <c r="Q51" s="61" t="n"/>
    </row>
    <row r="52">
      <c r="A52" s="60" t="n"/>
      <c r="B52" s="61" t="n"/>
      <c r="C52" s="61" t="n"/>
      <c r="D52" s="61" t="n"/>
      <c r="E52" s="61" t="n"/>
      <c r="F52" s="61" t="n"/>
      <c r="G52" s="62" t="n"/>
      <c r="H52" s="63">
        <f>IF(A52="","",Settings!$B$4)</f>
        <v/>
      </c>
      <c r="I52" s="62">
        <f>IF(G52="","",IF(OR(B52="Revenue",K52="Yes"),ROUND(G52*H52,2),0))</f>
        <v/>
      </c>
      <c r="J52" s="62">
        <f>IF(G52="","",G52+ROUND(G52*H52,2))</f>
        <v/>
      </c>
      <c r="K52" s="61" t="n"/>
      <c r="L52" s="64">
        <f>IF(A52="","",DATE(YEAR(A52),MONTH(A52),1))</f>
        <v/>
      </c>
      <c r="M52" s="61" t="n"/>
      <c r="N52" s="65" t="n"/>
      <c r="O52" s="62">
        <f>IF(B52="Revenue",G52,0)</f>
        <v/>
      </c>
      <c r="P52" s="62">
        <f>IF(B52="Expense",G52,0)</f>
        <v/>
      </c>
      <c r="Q52" s="61" t="n"/>
    </row>
    <row r="53">
      <c r="A53" s="60" t="n"/>
      <c r="B53" s="61" t="n"/>
      <c r="C53" s="61" t="n"/>
      <c r="D53" s="61" t="n"/>
      <c r="E53" s="61" t="n"/>
      <c r="F53" s="61" t="n"/>
      <c r="G53" s="62" t="n"/>
      <c r="H53" s="63">
        <f>IF(A53="","",Settings!$B$4)</f>
        <v/>
      </c>
      <c r="I53" s="62">
        <f>IF(G53="","",IF(OR(B53="Revenue",K53="Yes"),ROUND(G53*H53,2),0))</f>
        <v/>
      </c>
      <c r="J53" s="62">
        <f>IF(G53="","",G53+ROUND(G53*H53,2))</f>
        <v/>
      </c>
      <c r="K53" s="61" t="n"/>
      <c r="L53" s="64">
        <f>IF(A53="","",DATE(YEAR(A53),MONTH(A53),1))</f>
        <v/>
      </c>
      <c r="M53" s="61" t="n"/>
      <c r="N53" s="65" t="n"/>
      <c r="O53" s="62">
        <f>IF(B53="Revenue",G53,0)</f>
        <v/>
      </c>
      <c r="P53" s="62">
        <f>IF(B53="Expense",G53,0)</f>
        <v/>
      </c>
      <c r="Q53" s="61" t="n"/>
    </row>
    <row r="54">
      <c r="A54" s="60" t="n"/>
      <c r="B54" s="61" t="n"/>
      <c r="C54" s="61" t="n"/>
      <c r="D54" s="61" t="n"/>
      <c r="E54" s="61" t="n"/>
      <c r="F54" s="61" t="n"/>
      <c r="G54" s="62" t="n"/>
      <c r="H54" s="63">
        <f>IF(A54="","",Settings!$B$4)</f>
        <v/>
      </c>
      <c r="I54" s="62">
        <f>IF(G54="","",IF(OR(B54="Revenue",K54="Yes"),ROUND(G54*H54,2),0))</f>
        <v/>
      </c>
      <c r="J54" s="62">
        <f>IF(G54="","",G54+ROUND(G54*H54,2))</f>
        <v/>
      </c>
      <c r="K54" s="61" t="n"/>
      <c r="L54" s="64">
        <f>IF(A54="","",DATE(YEAR(A54),MONTH(A54),1))</f>
        <v/>
      </c>
      <c r="M54" s="61" t="n"/>
      <c r="N54" s="65" t="n"/>
      <c r="O54" s="62">
        <f>IF(B54="Revenue",G54,0)</f>
        <v/>
      </c>
      <c r="P54" s="62">
        <f>IF(B54="Expense",G54,0)</f>
        <v/>
      </c>
      <c r="Q54" s="61" t="n"/>
    </row>
    <row r="55">
      <c r="A55" s="60" t="n"/>
      <c r="B55" s="61" t="n"/>
      <c r="C55" s="61" t="n"/>
      <c r="D55" s="61" t="n"/>
      <c r="E55" s="61" t="n"/>
      <c r="F55" s="61" t="n"/>
      <c r="G55" s="62" t="n"/>
      <c r="H55" s="63">
        <f>IF(A55="","",Settings!$B$4)</f>
        <v/>
      </c>
      <c r="I55" s="62">
        <f>IF(G55="","",IF(OR(B55="Revenue",K55="Yes"),ROUND(G55*H55,2),0))</f>
        <v/>
      </c>
      <c r="J55" s="62">
        <f>IF(G55="","",G55+ROUND(G55*H55,2))</f>
        <v/>
      </c>
      <c r="K55" s="61" t="n"/>
      <c r="L55" s="64">
        <f>IF(A55="","",DATE(YEAR(A55),MONTH(A55),1))</f>
        <v/>
      </c>
      <c r="M55" s="61" t="n"/>
      <c r="N55" s="65" t="n"/>
      <c r="O55" s="62">
        <f>IF(B55="Revenue",G55,0)</f>
        <v/>
      </c>
      <c r="P55" s="62">
        <f>IF(B55="Expense",G55,0)</f>
        <v/>
      </c>
      <c r="Q55" s="61" t="n"/>
    </row>
    <row r="56">
      <c r="A56" s="60" t="n"/>
      <c r="B56" s="61" t="n"/>
      <c r="C56" s="61" t="n"/>
      <c r="D56" s="61" t="n"/>
      <c r="E56" s="61" t="n"/>
      <c r="F56" s="61" t="n"/>
      <c r="G56" s="62" t="n"/>
      <c r="H56" s="63">
        <f>IF(A56="","",Settings!$B$4)</f>
        <v/>
      </c>
      <c r="I56" s="62">
        <f>IF(G56="","",IF(OR(B56="Revenue",K56="Yes"),ROUND(G56*H56,2),0))</f>
        <v/>
      </c>
      <c r="J56" s="62">
        <f>IF(G56="","",G56+ROUND(G56*H56,2))</f>
        <v/>
      </c>
      <c r="K56" s="61" t="n"/>
      <c r="L56" s="64">
        <f>IF(A56="","",DATE(YEAR(A56),MONTH(A56),1))</f>
        <v/>
      </c>
      <c r="M56" s="61" t="n"/>
      <c r="N56" s="65" t="n"/>
      <c r="O56" s="62">
        <f>IF(B56="Revenue",G56,0)</f>
        <v/>
      </c>
      <c r="P56" s="62">
        <f>IF(B56="Expense",G56,0)</f>
        <v/>
      </c>
      <c r="Q56" s="61" t="n"/>
    </row>
    <row r="57">
      <c r="A57" s="60" t="n"/>
      <c r="B57" s="61" t="n"/>
      <c r="C57" s="61" t="n"/>
      <c r="D57" s="61" t="n"/>
      <c r="E57" s="61" t="n"/>
      <c r="F57" s="61" t="n"/>
      <c r="G57" s="62" t="n"/>
      <c r="H57" s="63">
        <f>IF(A57="","",Settings!$B$4)</f>
        <v/>
      </c>
      <c r="I57" s="62">
        <f>IF(G57="","",IF(OR(B57="Revenue",K57="Yes"),ROUND(G57*H57,2),0))</f>
        <v/>
      </c>
      <c r="J57" s="62">
        <f>IF(G57="","",G57+ROUND(G57*H57,2))</f>
        <v/>
      </c>
      <c r="K57" s="61" t="n"/>
      <c r="L57" s="64">
        <f>IF(A57="","",DATE(YEAR(A57),MONTH(A57),1))</f>
        <v/>
      </c>
      <c r="M57" s="61" t="n"/>
      <c r="N57" s="65" t="n"/>
      <c r="O57" s="62">
        <f>IF(B57="Revenue",G57,0)</f>
        <v/>
      </c>
      <c r="P57" s="62">
        <f>IF(B57="Expense",G57,0)</f>
        <v/>
      </c>
      <c r="Q57" s="61" t="n"/>
    </row>
    <row r="58">
      <c r="A58" s="60" t="n"/>
      <c r="B58" s="61" t="n"/>
      <c r="C58" s="61" t="n"/>
      <c r="D58" s="61" t="n"/>
      <c r="E58" s="61" t="n"/>
      <c r="F58" s="61" t="n"/>
      <c r="G58" s="62" t="n"/>
      <c r="H58" s="63">
        <f>IF(A58="","",Settings!$B$4)</f>
        <v/>
      </c>
      <c r="I58" s="62">
        <f>IF(G58="","",IF(OR(B58="Revenue",K58="Yes"),ROUND(G58*H58,2),0))</f>
        <v/>
      </c>
      <c r="J58" s="62">
        <f>IF(G58="","",G58+ROUND(G58*H58,2))</f>
        <v/>
      </c>
      <c r="K58" s="61" t="n"/>
      <c r="L58" s="64">
        <f>IF(A58="","",DATE(YEAR(A58),MONTH(A58),1))</f>
        <v/>
      </c>
      <c r="M58" s="61" t="n"/>
      <c r="N58" s="65" t="n"/>
      <c r="O58" s="62">
        <f>IF(B58="Revenue",G58,0)</f>
        <v/>
      </c>
      <c r="P58" s="62">
        <f>IF(B58="Expense",G58,0)</f>
        <v/>
      </c>
      <c r="Q58" s="61" t="n"/>
    </row>
    <row r="59">
      <c r="A59" s="60" t="n"/>
      <c r="B59" s="61" t="n"/>
      <c r="C59" s="61" t="n"/>
      <c r="D59" s="61" t="n"/>
      <c r="E59" s="61" t="n"/>
      <c r="F59" s="61" t="n"/>
      <c r="G59" s="62" t="n"/>
      <c r="H59" s="63">
        <f>IF(A59="","",Settings!$B$4)</f>
        <v/>
      </c>
      <c r="I59" s="62">
        <f>IF(G59="","",IF(OR(B59="Revenue",K59="Yes"),ROUND(G59*H59,2),0))</f>
        <v/>
      </c>
      <c r="J59" s="62">
        <f>IF(G59="","",G59+ROUND(G59*H59,2))</f>
        <v/>
      </c>
      <c r="K59" s="61" t="n"/>
      <c r="L59" s="64">
        <f>IF(A59="","",DATE(YEAR(A59),MONTH(A59),1))</f>
        <v/>
      </c>
      <c r="M59" s="61" t="n"/>
      <c r="N59" s="65" t="n"/>
      <c r="O59" s="62">
        <f>IF(B59="Revenue",G59,0)</f>
        <v/>
      </c>
      <c r="P59" s="62">
        <f>IF(B59="Expense",G59,0)</f>
        <v/>
      </c>
      <c r="Q59" s="61" t="n"/>
    </row>
    <row r="60">
      <c r="A60" s="60" t="n"/>
      <c r="B60" s="61" t="n"/>
      <c r="C60" s="61" t="n"/>
      <c r="D60" s="61" t="n"/>
      <c r="E60" s="61" t="n"/>
      <c r="F60" s="61" t="n"/>
      <c r="G60" s="62" t="n"/>
      <c r="H60" s="63">
        <f>IF(A60="","",Settings!$B$4)</f>
        <v/>
      </c>
      <c r="I60" s="62">
        <f>IF(G60="","",IF(OR(B60="Revenue",K60="Yes"),ROUND(G60*H60,2),0))</f>
        <v/>
      </c>
      <c r="J60" s="62">
        <f>IF(G60="","",G60+ROUND(G60*H60,2))</f>
        <v/>
      </c>
      <c r="K60" s="61" t="n"/>
      <c r="L60" s="64">
        <f>IF(A60="","",DATE(YEAR(A60),MONTH(A60),1))</f>
        <v/>
      </c>
      <c r="M60" s="61" t="n"/>
      <c r="N60" s="65" t="n"/>
      <c r="O60" s="62">
        <f>IF(B60="Revenue",G60,0)</f>
        <v/>
      </c>
      <c r="P60" s="62">
        <f>IF(B60="Expense",G60,0)</f>
        <v/>
      </c>
      <c r="Q60" s="61" t="n"/>
    </row>
    <row r="61">
      <c r="A61" s="60" t="n"/>
      <c r="B61" s="61" t="n"/>
      <c r="C61" s="61" t="n"/>
      <c r="D61" s="61" t="n"/>
      <c r="E61" s="61" t="n"/>
      <c r="F61" s="61" t="n"/>
      <c r="G61" s="62" t="n"/>
      <c r="H61" s="63">
        <f>IF(A61="","",Settings!$B$4)</f>
        <v/>
      </c>
      <c r="I61" s="62">
        <f>IF(G61="","",IF(OR(B61="Revenue",K61="Yes"),ROUND(G61*H61,2),0))</f>
        <v/>
      </c>
      <c r="J61" s="62">
        <f>IF(G61="","",G61+ROUND(G61*H61,2))</f>
        <v/>
      </c>
      <c r="K61" s="61" t="n"/>
      <c r="L61" s="64">
        <f>IF(A61="","",DATE(YEAR(A61),MONTH(A61),1))</f>
        <v/>
      </c>
      <c r="M61" s="61" t="n"/>
      <c r="N61" s="65" t="n"/>
      <c r="O61" s="62">
        <f>IF(B61="Revenue",G61,0)</f>
        <v/>
      </c>
      <c r="P61" s="62">
        <f>IF(B61="Expense",G61,0)</f>
        <v/>
      </c>
      <c r="Q61" s="61" t="n"/>
    </row>
    <row r="62">
      <c r="A62" s="60" t="n"/>
      <c r="B62" s="61" t="n"/>
      <c r="C62" s="61" t="n"/>
      <c r="D62" s="61" t="n"/>
      <c r="E62" s="61" t="n"/>
      <c r="F62" s="61" t="n"/>
      <c r="G62" s="62" t="n"/>
      <c r="H62" s="63">
        <f>IF(A62="","",Settings!$B$4)</f>
        <v/>
      </c>
      <c r="I62" s="62">
        <f>IF(G62="","",IF(OR(B62="Revenue",K62="Yes"),ROUND(G62*H62,2),0))</f>
        <v/>
      </c>
      <c r="J62" s="62">
        <f>IF(G62="","",G62+ROUND(G62*H62,2))</f>
        <v/>
      </c>
      <c r="K62" s="61" t="n"/>
      <c r="L62" s="64">
        <f>IF(A62="","",DATE(YEAR(A62),MONTH(A62),1))</f>
        <v/>
      </c>
      <c r="M62" s="61" t="n"/>
      <c r="N62" s="65" t="n"/>
      <c r="O62" s="62">
        <f>IF(B62="Revenue",G62,0)</f>
        <v/>
      </c>
      <c r="P62" s="62">
        <f>IF(B62="Expense",G62,0)</f>
        <v/>
      </c>
      <c r="Q62" s="61" t="n"/>
    </row>
    <row r="63">
      <c r="A63" s="60" t="n"/>
      <c r="B63" s="61" t="n"/>
      <c r="C63" s="61" t="n"/>
      <c r="D63" s="61" t="n"/>
      <c r="E63" s="61" t="n"/>
      <c r="F63" s="61" t="n"/>
      <c r="G63" s="62" t="n"/>
      <c r="H63" s="63">
        <f>IF(A63="","",Settings!$B$4)</f>
        <v/>
      </c>
      <c r="I63" s="62">
        <f>IF(G63="","",IF(OR(B63="Revenue",K63="Yes"),ROUND(G63*H63,2),0))</f>
        <v/>
      </c>
      <c r="J63" s="62">
        <f>IF(G63="","",G63+ROUND(G63*H63,2))</f>
        <v/>
      </c>
      <c r="K63" s="61" t="n"/>
      <c r="L63" s="64">
        <f>IF(A63="","",DATE(YEAR(A63),MONTH(A63),1))</f>
        <v/>
      </c>
      <c r="M63" s="61" t="n"/>
      <c r="N63" s="65" t="n"/>
      <c r="O63" s="62">
        <f>IF(B63="Revenue",G63,0)</f>
        <v/>
      </c>
      <c r="P63" s="62">
        <f>IF(B63="Expense",G63,0)</f>
        <v/>
      </c>
      <c r="Q63" s="61" t="n"/>
    </row>
    <row r="64">
      <c r="A64" s="60" t="n"/>
      <c r="B64" s="61" t="n"/>
      <c r="C64" s="61" t="n"/>
      <c r="D64" s="61" t="n"/>
      <c r="E64" s="61" t="n"/>
      <c r="F64" s="61" t="n"/>
      <c r="G64" s="62" t="n"/>
      <c r="H64" s="63">
        <f>IF(A64="","",Settings!$B$4)</f>
        <v/>
      </c>
      <c r="I64" s="62">
        <f>IF(G64="","",IF(OR(B64="Revenue",K64="Yes"),ROUND(G64*H64,2),0))</f>
        <v/>
      </c>
      <c r="J64" s="62">
        <f>IF(G64="","",G64+ROUND(G64*H64,2))</f>
        <v/>
      </c>
      <c r="K64" s="61" t="n"/>
      <c r="L64" s="64">
        <f>IF(A64="","",DATE(YEAR(A64),MONTH(A64),1))</f>
        <v/>
      </c>
      <c r="M64" s="61" t="n"/>
      <c r="N64" s="65" t="n"/>
      <c r="O64" s="62">
        <f>IF(B64="Revenue",G64,0)</f>
        <v/>
      </c>
      <c r="P64" s="62">
        <f>IF(B64="Expense",G64,0)</f>
        <v/>
      </c>
      <c r="Q64" s="61" t="n"/>
    </row>
    <row r="65">
      <c r="A65" s="60" t="n"/>
      <c r="B65" s="61" t="n"/>
      <c r="C65" s="61" t="n"/>
      <c r="D65" s="61" t="n"/>
      <c r="E65" s="61" t="n"/>
      <c r="F65" s="61" t="n"/>
      <c r="G65" s="62" t="n"/>
      <c r="H65" s="63">
        <f>IF(A65="","",Settings!$B$4)</f>
        <v/>
      </c>
      <c r="I65" s="62">
        <f>IF(G65="","",IF(OR(B65="Revenue",K65="Yes"),ROUND(G65*H65,2),0))</f>
        <v/>
      </c>
      <c r="J65" s="62">
        <f>IF(G65="","",G65+ROUND(G65*H65,2))</f>
        <v/>
      </c>
      <c r="K65" s="61" t="n"/>
      <c r="L65" s="64">
        <f>IF(A65="","",DATE(YEAR(A65),MONTH(A65),1))</f>
        <v/>
      </c>
      <c r="M65" s="61" t="n"/>
      <c r="N65" s="65" t="n"/>
      <c r="O65" s="62">
        <f>IF(B65="Revenue",G65,0)</f>
        <v/>
      </c>
      <c r="P65" s="62">
        <f>IF(B65="Expense",G65,0)</f>
        <v/>
      </c>
      <c r="Q65" s="61" t="n"/>
    </row>
    <row r="66">
      <c r="A66" s="60" t="n"/>
      <c r="B66" s="61" t="n"/>
      <c r="C66" s="61" t="n"/>
      <c r="D66" s="61" t="n"/>
      <c r="E66" s="61" t="n"/>
      <c r="F66" s="61" t="n"/>
      <c r="G66" s="62" t="n"/>
      <c r="H66" s="63">
        <f>IF(A66="","",Settings!$B$4)</f>
        <v/>
      </c>
      <c r="I66" s="62">
        <f>IF(G66="","",IF(OR(B66="Revenue",K66="Yes"),ROUND(G66*H66,2),0))</f>
        <v/>
      </c>
      <c r="J66" s="62">
        <f>IF(G66="","",G66+ROUND(G66*H66,2))</f>
        <v/>
      </c>
      <c r="K66" s="61" t="n"/>
      <c r="L66" s="64">
        <f>IF(A66="","",DATE(YEAR(A66),MONTH(A66),1))</f>
        <v/>
      </c>
      <c r="M66" s="61" t="n"/>
      <c r="N66" s="65" t="n"/>
      <c r="O66" s="62">
        <f>IF(B66="Revenue",G66,0)</f>
        <v/>
      </c>
      <c r="P66" s="62">
        <f>IF(B66="Expense",G66,0)</f>
        <v/>
      </c>
      <c r="Q66" s="61" t="n"/>
    </row>
    <row r="67">
      <c r="A67" s="60" t="n"/>
      <c r="B67" s="61" t="n"/>
      <c r="C67" s="61" t="n"/>
      <c r="D67" s="61" t="n"/>
      <c r="E67" s="61" t="n"/>
      <c r="F67" s="61" t="n"/>
      <c r="G67" s="62" t="n"/>
      <c r="H67" s="63">
        <f>IF(A67="","",Settings!$B$4)</f>
        <v/>
      </c>
      <c r="I67" s="62">
        <f>IF(G67="","",IF(OR(B67="Revenue",K67="Yes"),ROUND(G67*H67,2),0))</f>
        <v/>
      </c>
      <c r="J67" s="62">
        <f>IF(G67="","",G67+ROUND(G67*H67,2))</f>
        <v/>
      </c>
      <c r="K67" s="61" t="n"/>
      <c r="L67" s="64">
        <f>IF(A67="","",DATE(YEAR(A67),MONTH(A67),1))</f>
        <v/>
      </c>
      <c r="M67" s="61" t="n"/>
      <c r="N67" s="65" t="n"/>
      <c r="O67" s="62">
        <f>IF(B67="Revenue",G67,0)</f>
        <v/>
      </c>
      <c r="P67" s="62">
        <f>IF(B67="Expense",G67,0)</f>
        <v/>
      </c>
      <c r="Q67" s="61" t="n"/>
    </row>
    <row r="68"/>
    <row r="69">
      <c r="A69" s="58" t="inlineStr">
        <is>
          <t>March 2026 / เดือน Mar</t>
        </is>
      </c>
    </row>
    <row r="70">
      <c r="A70" s="59" t="inlineStr">
        <is>
          <t>วันที่</t>
        </is>
      </c>
      <c r="B70" s="59" t="inlineStr">
        <is>
          <t>ประเภท</t>
        </is>
      </c>
      <c r="C70" s="59" t="inlineStr">
        <is>
          <t>เลขที่เอกสาร</t>
        </is>
      </c>
      <c r="D70" s="59" t="inlineStr">
        <is>
          <t>ลูกค้า/ผู้ขาย</t>
        </is>
      </c>
      <c r="E70" s="59" t="inlineStr">
        <is>
          <t>รายละเอียด</t>
        </is>
      </c>
      <c r="F70" s="59" t="inlineStr">
        <is>
          <t>หมวด</t>
        </is>
      </c>
      <c r="G70" s="59" t="inlineStr">
        <is>
          <t>ยอดก่อน VAT</t>
        </is>
      </c>
      <c r="H70" s="59" t="inlineStr">
        <is>
          <t>อัตรา VAT</t>
        </is>
      </c>
      <c r="I70" s="59" t="inlineStr">
        <is>
          <t>VAT</t>
        </is>
      </c>
      <c r="J70" s="59" t="inlineStr">
        <is>
          <t>ยอดรวม</t>
        </is>
      </c>
      <c r="K70" s="59" t="inlineStr">
        <is>
          <t>รับเงิน/ขอคืน VAT?</t>
        </is>
      </c>
      <c r="L70" s="59" t="inlineStr">
        <is>
          <t>เดือน</t>
        </is>
      </c>
      <c r="M70" s="59" t="inlineStr">
        <is>
          <t>ไฟล์เอกสาร</t>
        </is>
      </c>
      <c r="N70" s="59" t="inlineStr">
        <is>
          <t>OCR Confidence</t>
        </is>
      </c>
      <c r="O70" s="59" t="inlineStr">
        <is>
          <t>รายรับก่อน VAT</t>
        </is>
      </c>
      <c r="P70" s="59" t="inlineStr">
        <is>
          <t>ค่าใช้จ่ายก่อน VAT</t>
        </is>
      </c>
      <c r="Q70" s="59" t="inlineStr">
        <is>
          <t>หมายเหตุ</t>
        </is>
      </c>
      <c r="R70" s="74" t="inlineStr">
        <is>
          <t>ประเภทเอกสาร</t>
        </is>
      </c>
    </row>
    <row r="71">
      <c r="A71" s="60" t="n"/>
      <c r="B71" s="61" t="n"/>
      <c r="C71" s="61" t="n"/>
      <c r="D71" s="61" t="n"/>
      <c r="E71" s="61" t="n"/>
      <c r="F71" s="61" t="n"/>
      <c r="G71" s="62" t="n"/>
      <c r="H71" s="63">
        <f>IF(A71="","",Settings!$B$4)</f>
        <v/>
      </c>
      <c r="I71" s="62">
        <f>IF(G71="","",IF(OR(B71="Revenue",K71="Yes"),ROUND(G71*H71,2),0))</f>
        <v/>
      </c>
      <c r="J71" s="62">
        <f>IF(G71="","",G71+ROUND(G71*H71,2))</f>
        <v/>
      </c>
      <c r="K71" s="61" t="n"/>
      <c r="L71" s="64">
        <f>IF(A71="","",DATE(YEAR(A71),MONTH(A71),1))</f>
        <v/>
      </c>
      <c r="M71" s="61" t="n"/>
      <c r="N71" s="65" t="n"/>
      <c r="O71" s="62">
        <f>IF(B71="Revenue",G71,0)</f>
        <v/>
      </c>
      <c r="P71" s="62">
        <f>IF(B71="Expense",G71,0)</f>
        <v/>
      </c>
      <c r="Q71" s="61" t="n"/>
    </row>
    <row r="72">
      <c r="A72" s="60" t="n"/>
      <c r="B72" s="61" t="n"/>
      <c r="C72" s="61" t="n"/>
      <c r="D72" s="61" t="n"/>
      <c r="E72" s="61" t="n"/>
      <c r="F72" s="61" t="n"/>
      <c r="G72" s="62" t="n"/>
      <c r="H72" s="63">
        <f>IF(A72="","",Settings!$B$4)</f>
        <v/>
      </c>
      <c r="I72" s="62">
        <f>IF(G72="","",IF(OR(B72="Revenue",K72="Yes"),ROUND(G72*H72,2),0))</f>
        <v/>
      </c>
      <c r="J72" s="62">
        <f>IF(G72="","",G72+ROUND(G72*H72,2))</f>
        <v/>
      </c>
      <c r="K72" s="61" t="n"/>
      <c r="L72" s="64">
        <f>IF(A72="","",DATE(YEAR(A72),MONTH(A72),1))</f>
        <v/>
      </c>
      <c r="M72" s="61" t="n"/>
      <c r="N72" s="65" t="n"/>
      <c r="O72" s="62">
        <f>IF(B72="Revenue",G72,0)</f>
        <v/>
      </c>
      <c r="P72" s="62">
        <f>IF(B72="Expense",G72,0)</f>
        <v/>
      </c>
      <c r="Q72" s="61" t="n"/>
    </row>
    <row r="73">
      <c r="A73" s="60" t="n"/>
      <c r="B73" s="61" t="n"/>
      <c r="C73" s="61" t="n"/>
      <c r="D73" s="61" t="n"/>
      <c r="E73" s="61" t="n"/>
      <c r="F73" s="61" t="n"/>
      <c r="G73" s="62" t="n"/>
      <c r="H73" s="63">
        <f>IF(A73="","",Settings!$B$4)</f>
        <v/>
      </c>
      <c r="I73" s="62">
        <f>IF(G73="","",IF(OR(B73="Revenue",K73="Yes"),ROUND(G73*H73,2),0))</f>
        <v/>
      </c>
      <c r="J73" s="62">
        <f>IF(G73="","",G73+ROUND(G73*H73,2))</f>
        <v/>
      </c>
      <c r="K73" s="61" t="n"/>
      <c r="L73" s="64">
        <f>IF(A73="","",DATE(YEAR(A73),MONTH(A73),1))</f>
        <v/>
      </c>
      <c r="M73" s="61" t="n"/>
      <c r="N73" s="65" t="n"/>
      <c r="O73" s="62">
        <f>IF(B73="Revenue",G73,0)</f>
        <v/>
      </c>
      <c r="P73" s="62">
        <f>IF(B73="Expense",G73,0)</f>
        <v/>
      </c>
      <c r="Q73" s="61" t="n"/>
    </row>
    <row r="74">
      <c r="A74" s="60" t="n"/>
      <c r="B74" s="61" t="n"/>
      <c r="C74" s="61" t="n"/>
      <c r="D74" s="61" t="n"/>
      <c r="E74" s="61" t="n"/>
      <c r="F74" s="61" t="n"/>
      <c r="G74" s="62" t="n"/>
      <c r="H74" s="63">
        <f>IF(A74="","",Settings!$B$4)</f>
        <v/>
      </c>
      <c r="I74" s="62">
        <f>IF(G74="","",IF(OR(B74="Revenue",K74="Yes"),ROUND(G74*H74,2),0))</f>
        <v/>
      </c>
      <c r="J74" s="62">
        <f>IF(G74="","",G74+ROUND(G74*H74,2))</f>
        <v/>
      </c>
      <c r="K74" s="61" t="n"/>
      <c r="L74" s="64">
        <f>IF(A74="","",DATE(YEAR(A74),MONTH(A74),1))</f>
        <v/>
      </c>
      <c r="M74" s="61" t="n"/>
      <c r="N74" s="65" t="n"/>
      <c r="O74" s="62">
        <f>IF(B74="Revenue",G74,0)</f>
        <v/>
      </c>
      <c r="P74" s="62">
        <f>IF(B74="Expense",G74,0)</f>
        <v/>
      </c>
      <c r="Q74" s="61" t="n"/>
    </row>
    <row r="75">
      <c r="A75" s="60" t="n"/>
      <c r="B75" s="61" t="n"/>
      <c r="C75" s="61" t="n"/>
      <c r="D75" s="61" t="n"/>
      <c r="E75" s="61" t="n"/>
      <c r="F75" s="61" t="n"/>
      <c r="G75" s="62" t="n"/>
      <c r="H75" s="63">
        <f>IF(A75="","",Settings!$B$4)</f>
        <v/>
      </c>
      <c r="I75" s="62">
        <f>IF(G75="","",IF(OR(B75="Revenue",K75="Yes"),ROUND(G75*H75,2),0))</f>
        <v/>
      </c>
      <c r="J75" s="62">
        <f>IF(G75="","",G75+ROUND(G75*H75,2))</f>
        <v/>
      </c>
      <c r="K75" s="61" t="n"/>
      <c r="L75" s="64">
        <f>IF(A75="","",DATE(YEAR(A75),MONTH(A75),1))</f>
        <v/>
      </c>
      <c r="M75" s="61" t="n"/>
      <c r="N75" s="65" t="n"/>
      <c r="O75" s="62">
        <f>IF(B75="Revenue",G75,0)</f>
        <v/>
      </c>
      <c r="P75" s="62">
        <f>IF(B75="Expense",G75,0)</f>
        <v/>
      </c>
      <c r="Q75" s="61" t="n"/>
    </row>
    <row r="76">
      <c r="A76" s="60" t="n"/>
      <c r="B76" s="61" t="n"/>
      <c r="C76" s="61" t="n"/>
      <c r="D76" s="61" t="n"/>
      <c r="E76" s="61" t="n"/>
      <c r="F76" s="61" t="n"/>
      <c r="G76" s="62" t="n"/>
      <c r="H76" s="63">
        <f>IF(A76="","",Settings!$B$4)</f>
        <v/>
      </c>
      <c r="I76" s="62">
        <f>IF(G76="","",IF(OR(B76="Revenue",K76="Yes"),ROUND(G76*H76,2),0))</f>
        <v/>
      </c>
      <c r="J76" s="62">
        <f>IF(G76="","",G76+ROUND(G76*H76,2))</f>
        <v/>
      </c>
      <c r="K76" s="61" t="n"/>
      <c r="L76" s="64">
        <f>IF(A76="","",DATE(YEAR(A76),MONTH(A76),1))</f>
        <v/>
      </c>
      <c r="M76" s="61" t="n"/>
      <c r="N76" s="65" t="n"/>
      <c r="O76" s="62">
        <f>IF(B76="Revenue",G76,0)</f>
        <v/>
      </c>
      <c r="P76" s="62">
        <f>IF(B76="Expense",G76,0)</f>
        <v/>
      </c>
      <c r="Q76" s="61" t="n"/>
    </row>
    <row r="77">
      <c r="A77" s="60" t="n"/>
      <c r="B77" s="61" t="n"/>
      <c r="C77" s="61" t="n"/>
      <c r="D77" s="61" t="n"/>
      <c r="E77" s="61" t="n"/>
      <c r="F77" s="61" t="n"/>
      <c r="G77" s="62" t="n"/>
      <c r="H77" s="63">
        <f>IF(A77="","",Settings!$B$4)</f>
        <v/>
      </c>
      <c r="I77" s="62">
        <f>IF(G77="","",IF(OR(B77="Revenue",K77="Yes"),ROUND(G77*H77,2),0))</f>
        <v/>
      </c>
      <c r="J77" s="62">
        <f>IF(G77="","",G77+ROUND(G77*H77,2))</f>
        <v/>
      </c>
      <c r="K77" s="61" t="n"/>
      <c r="L77" s="64">
        <f>IF(A77="","",DATE(YEAR(A77),MONTH(A77),1))</f>
        <v/>
      </c>
      <c r="M77" s="61" t="n"/>
      <c r="N77" s="65" t="n"/>
      <c r="O77" s="62">
        <f>IF(B77="Revenue",G77,0)</f>
        <v/>
      </c>
      <c r="P77" s="62">
        <f>IF(B77="Expense",G77,0)</f>
        <v/>
      </c>
      <c r="Q77" s="61" t="n"/>
    </row>
    <row r="78">
      <c r="A78" s="60" t="n"/>
      <c r="B78" s="61" t="n"/>
      <c r="C78" s="61" t="n"/>
      <c r="D78" s="61" t="n"/>
      <c r="E78" s="61" t="n"/>
      <c r="F78" s="61" t="n"/>
      <c r="G78" s="62" t="n"/>
      <c r="H78" s="63">
        <f>IF(A78="","",Settings!$B$4)</f>
        <v/>
      </c>
      <c r="I78" s="62">
        <f>IF(G78="","",IF(OR(B78="Revenue",K78="Yes"),ROUND(G78*H78,2),0))</f>
        <v/>
      </c>
      <c r="J78" s="62">
        <f>IF(G78="","",G78+ROUND(G78*H78,2))</f>
        <v/>
      </c>
      <c r="K78" s="61" t="n"/>
      <c r="L78" s="64">
        <f>IF(A78="","",DATE(YEAR(A78),MONTH(A78),1))</f>
        <v/>
      </c>
      <c r="M78" s="61" t="n"/>
      <c r="N78" s="65" t="n"/>
      <c r="O78" s="62">
        <f>IF(B78="Revenue",G78,0)</f>
        <v/>
      </c>
      <c r="P78" s="62">
        <f>IF(B78="Expense",G78,0)</f>
        <v/>
      </c>
      <c r="Q78" s="61" t="n"/>
    </row>
    <row r="79">
      <c r="A79" s="60" t="n"/>
      <c r="B79" s="61" t="n"/>
      <c r="C79" s="61" t="n"/>
      <c r="D79" s="61" t="n"/>
      <c r="E79" s="61" t="n"/>
      <c r="F79" s="61" t="n"/>
      <c r="G79" s="62" t="n"/>
      <c r="H79" s="63">
        <f>IF(A79="","",Settings!$B$4)</f>
        <v/>
      </c>
      <c r="I79" s="62">
        <f>IF(G79="","",IF(OR(B79="Revenue",K79="Yes"),ROUND(G79*H79,2),0))</f>
        <v/>
      </c>
      <c r="J79" s="62">
        <f>IF(G79="","",G79+ROUND(G79*H79,2))</f>
        <v/>
      </c>
      <c r="K79" s="61" t="n"/>
      <c r="L79" s="64">
        <f>IF(A79="","",DATE(YEAR(A79),MONTH(A79),1))</f>
        <v/>
      </c>
      <c r="M79" s="61" t="n"/>
      <c r="N79" s="65" t="n"/>
      <c r="O79" s="62">
        <f>IF(B79="Revenue",G79,0)</f>
        <v/>
      </c>
      <c r="P79" s="62">
        <f>IF(B79="Expense",G79,0)</f>
        <v/>
      </c>
      <c r="Q79" s="61" t="n"/>
    </row>
    <row r="80">
      <c r="A80" s="60" t="n"/>
      <c r="B80" s="61" t="n"/>
      <c r="C80" s="61" t="n"/>
      <c r="D80" s="61" t="n"/>
      <c r="E80" s="61" t="n"/>
      <c r="F80" s="61" t="n"/>
      <c r="G80" s="62" t="n"/>
      <c r="H80" s="63">
        <f>IF(A80="","",Settings!$B$4)</f>
        <v/>
      </c>
      <c r="I80" s="62">
        <f>IF(G80="","",IF(OR(B80="Revenue",K80="Yes"),ROUND(G80*H80,2),0))</f>
        <v/>
      </c>
      <c r="J80" s="62">
        <f>IF(G80="","",G80+ROUND(G80*H80,2))</f>
        <v/>
      </c>
      <c r="K80" s="61" t="n"/>
      <c r="L80" s="64">
        <f>IF(A80="","",DATE(YEAR(A80),MONTH(A80),1))</f>
        <v/>
      </c>
      <c r="M80" s="61" t="n"/>
      <c r="N80" s="65" t="n"/>
      <c r="O80" s="62">
        <f>IF(B80="Revenue",G80,0)</f>
        <v/>
      </c>
      <c r="P80" s="62">
        <f>IF(B80="Expense",G80,0)</f>
        <v/>
      </c>
      <c r="Q80" s="61" t="n"/>
    </row>
    <row r="81">
      <c r="A81" s="60" t="n"/>
      <c r="B81" s="61" t="n"/>
      <c r="C81" s="61" t="n"/>
      <c r="D81" s="61" t="n"/>
      <c r="E81" s="61" t="n"/>
      <c r="F81" s="61" t="n"/>
      <c r="G81" s="62" t="n"/>
      <c r="H81" s="63">
        <f>IF(A81="","",Settings!$B$4)</f>
        <v/>
      </c>
      <c r="I81" s="62">
        <f>IF(G81="","",IF(OR(B81="Revenue",K81="Yes"),ROUND(G81*H81,2),0))</f>
        <v/>
      </c>
      <c r="J81" s="62">
        <f>IF(G81="","",G81+ROUND(G81*H81,2))</f>
        <v/>
      </c>
      <c r="K81" s="61" t="n"/>
      <c r="L81" s="64">
        <f>IF(A81="","",DATE(YEAR(A81),MONTH(A81),1))</f>
        <v/>
      </c>
      <c r="M81" s="61" t="n"/>
      <c r="N81" s="65" t="n"/>
      <c r="O81" s="62">
        <f>IF(B81="Revenue",G81,0)</f>
        <v/>
      </c>
      <c r="P81" s="62">
        <f>IF(B81="Expense",G81,0)</f>
        <v/>
      </c>
      <c r="Q81" s="61" t="n"/>
    </row>
    <row r="82">
      <c r="A82" s="60" t="n"/>
      <c r="B82" s="61" t="n"/>
      <c r="C82" s="61" t="n"/>
      <c r="D82" s="61" t="n"/>
      <c r="E82" s="61" t="n"/>
      <c r="F82" s="61" t="n"/>
      <c r="G82" s="62" t="n"/>
      <c r="H82" s="63">
        <f>IF(A82="","",Settings!$B$4)</f>
        <v/>
      </c>
      <c r="I82" s="62">
        <f>IF(G82="","",IF(OR(B82="Revenue",K82="Yes"),ROUND(G82*H82,2),0))</f>
        <v/>
      </c>
      <c r="J82" s="62">
        <f>IF(G82="","",G82+ROUND(G82*H82,2))</f>
        <v/>
      </c>
      <c r="K82" s="61" t="n"/>
      <c r="L82" s="64">
        <f>IF(A82="","",DATE(YEAR(A82),MONTH(A82),1))</f>
        <v/>
      </c>
      <c r="M82" s="61" t="n"/>
      <c r="N82" s="65" t="n"/>
      <c r="O82" s="62">
        <f>IF(B82="Revenue",G82,0)</f>
        <v/>
      </c>
      <c r="P82" s="62">
        <f>IF(B82="Expense",G82,0)</f>
        <v/>
      </c>
      <c r="Q82" s="61" t="n"/>
    </row>
    <row r="83">
      <c r="A83" s="60" t="n"/>
      <c r="B83" s="61" t="n"/>
      <c r="C83" s="61" t="n"/>
      <c r="D83" s="61" t="n"/>
      <c r="E83" s="61" t="n"/>
      <c r="F83" s="61" t="n"/>
      <c r="G83" s="62" t="n"/>
      <c r="H83" s="63">
        <f>IF(A83="","",Settings!$B$4)</f>
        <v/>
      </c>
      <c r="I83" s="62">
        <f>IF(G83="","",IF(OR(B83="Revenue",K83="Yes"),ROUND(G83*H83,2),0))</f>
        <v/>
      </c>
      <c r="J83" s="62">
        <f>IF(G83="","",G83+ROUND(G83*H83,2))</f>
        <v/>
      </c>
      <c r="K83" s="61" t="n"/>
      <c r="L83" s="64">
        <f>IF(A83="","",DATE(YEAR(A83),MONTH(A83),1))</f>
        <v/>
      </c>
      <c r="M83" s="61" t="n"/>
      <c r="N83" s="65" t="n"/>
      <c r="O83" s="62">
        <f>IF(B83="Revenue",G83,0)</f>
        <v/>
      </c>
      <c r="P83" s="62">
        <f>IF(B83="Expense",G83,0)</f>
        <v/>
      </c>
      <c r="Q83" s="61" t="n"/>
    </row>
    <row r="84">
      <c r="A84" s="60" t="n"/>
      <c r="B84" s="61" t="n"/>
      <c r="C84" s="61" t="n"/>
      <c r="D84" s="61" t="n"/>
      <c r="E84" s="61" t="n"/>
      <c r="F84" s="61" t="n"/>
      <c r="G84" s="62" t="n"/>
      <c r="H84" s="63">
        <f>IF(A84="","",Settings!$B$4)</f>
        <v/>
      </c>
      <c r="I84" s="62">
        <f>IF(G84="","",IF(OR(B84="Revenue",K84="Yes"),ROUND(G84*H84,2),0))</f>
        <v/>
      </c>
      <c r="J84" s="62">
        <f>IF(G84="","",G84+ROUND(G84*H84,2))</f>
        <v/>
      </c>
      <c r="K84" s="61" t="n"/>
      <c r="L84" s="64">
        <f>IF(A84="","",DATE(YEAR(A84),MONTH(A84),1))</f>
        <v/>
      </c>
      <c r="M84" s="61" t="n"/>
      <c r="N84" s="65" t="n"/>
      <c r="O84" s="62">
        <f>IF(B84="Revenue",G84,0)</f>
        <v/>
      </c>
      <c r="P84" s="62">
        <f>IF(B84="Expense",G84,0)</f>
        <v/>
      </c>
      <c r="Q84" s="61" t="n"/>
    </row>
    <row r="85">
      <c r="A85" s="60" t="n"/>
      <c r="B85" s="61" t="n"/>
      <c r="C85" s="61" t="n"/>
      <c r="D85" s="61" t="n"/>
      <c r="E85" s="61" t="n"/>
      <c r="F85" s="61" t="n"/>
      <c r="G85" s="62" t="n"/>
      <c r="H85" s="63">
        <f>IF(A85="","",Settings!$B$4)</f>
        <v/>
      </c>
      <c r="I85" s="62">
        <f>IF(G85="","",IF(OR(B85="Revenue",K85="Yes"),ROUND(G85*H85,2),0))</f>
        <v/>
      </c>
      <c r="J85" s="62">
        <f>IF(G85="","",G85+ROUND(G85*H85,2))</f>
        <v/>
      </c>
      <c r="K85" s="61" t="n"/>
      <c r="L85" s="64">
        <f>IF(A85="","",DATE(YEAR(A85),MONTH(A85),1))</f>
        <v/>
      </c>
      <c r="M85" s="61" t="n"/>
      <c r="N85" s="65" t="n"/>
      <c r="O85" s="62">
        <f>IF(B85="Revenue",G85,0)</f>
        <v/>
      </c>
      <c r="P85" s="62">
        <f>IF(B85="Expense",G85,0)</f>
        <v/>
      </c>
      <c r="Q85" s="61" t="n"/>
    </row>
    <row r="86">
      <c r="A86" s="60" t="n"/>
      <c r="B86" s="61" t="n"/>
      <c r="C86" s="61" t="n"/>
      <c r="D86" s="61" t="n"/>
      <c r="E86" s="61" t="n"/>
      <c r="F86" s="61" t="n"/>
      <c r="G86" s="62" t="n"/>
      <c r="H86" s="63">
        <f>IF(A86="","",Settings!$B$4)</f>
        <v/>
      </c>
      <c r="I86" s="62">
        <f>IF(G86="","",IF(OR(B86="Revenue",K86="Yes"),ROUND(G86*H86,2),0))</f>
        <v/>
      </c>
      <c r="J86" s="62">
        <f>IF(G86="","",G86+ROUND(G86*H86,2))</f>
        <v/>
      </c>
      <c r="K86" s="61" t="n"/>
      <c r="L86" s="64">
        <f>IF(A86="","",DATE(YEAR(A86),MONTH(A86),1))</f>
        <v/>
      </c>
      <c r="M86" s="61" t="n"/>
      <c r="N86" s="65" t="n"/>
      <c r="O86" s="62">
        <f>IF(B86="Revenue",G86,0)</f>
        <v/>
      </c>
      <c r="P86" s="62">
        <f>IF(B86="Expense",G86,0)</f>
        <v/>
      </c>
      <c r="Q86" s="61" t="n"/>
    </row>
    <row r="87">
      <c r="A87" s="60" t="n"/>
      <c r="B87" s="61" t="n"/>
      <c r="C87" s="61" t="n"/>
      <c r="D87" s="61" t="n"/>
      <c r="E87" s="61" t="n"/>
      <c r="F87" s="61" t="n"/>
      <c r="G87" s="62" t="n"/>
      <c r="H87" s="63">
        <f>IF(A87="","",Settings!$B$4)</f>
        <v/>
      </c>
      <c r="I87" s="62">
        <f>IF(G87="","",IF(OR(B87="Revenue",K87="Yes"),ROUND(G87*H87,2),0))</f>
        <v/>
      </c>
      <c r="J87" s="62">
        <f>IF(G87="","",G87+ROUND(G87*H87,2))</f>
        <v/>
      </c>
      <c r="K87" s="61" t="n"/>
      <c r="L87" s="64">
        <f>IF(A87="","",DATE(YEAR(A87),MONTH(A87),1))</f>
        <v/>
      </c>
      <c r="M87" s="61" t="n"/>
      <c r="N87" s="65" t="n"/>
      <c r="O87" s="62">
        <f>IF(B87="Revenue",G87,0)</f>
        <v/>
      </c>
      <c r="P87" s="62">
        <f>IF(B87="Expense",G87,0)</f>
        <v/>
      </c>
      <c r="Q87" s="61" t="n"/>
    </row>
    <row r="88">
      <c r="A88" s="60" t="n"/>
      <c r="B88" s="61" t="n"/>
      <c r="C88" s="61" t="n"/>
      <c r="D88" s="61" t="n"/>
      <c r="E88" s="61" t="n"/>
      <c r="F88" s="61" t="n"/>
      <c r="G88" s="62" t="n"/>
      <c r="H88" s="63">
        <f>IF(A88="","",Settings!$B$4)</f>
        <v/>
      </c>
      <c r="I88" s="62">
        <f>IF(G88="","",IF(OR(B88="Revenue",K88="Yes"),ROUND(G88*H88,2),0))</f>
        <v/>
      </c>
      <c r="J88" s="62">
        <f>IF(G88="","",G88+ROUND(G88*H88,2))</f>
        <v/>
      </c>
      <c r="K88" s="61" t="n"/>
      <c r="L88" s="64">
        <f>IF(A88="","",DATE(YEAR(A88),MONTH(A88),1))</f>
        <v/>
      </c>
      <c r="M88" s="61" t="n"/>
      <c r="N88" s="65" t="n"/>
      <c r="O88" s="62">
        <f>IF(B88="Revenue",G88,0)</f>
        <v/>
      </c>
      <c r="P88" s="62">
        <f>IF(B88="Expense",G88,0)</f>
        <v/>
      </c>
      <c r="Q88" s="61" t="n"/>
    </row>
    <row r="89">
      <c r="A89" s="60" t="n"/>
      <c r="B89" s="61" t="n"/>
      <c r="C89" s="61" t="n"/>
      <c r="D89" s="61" t="n"/>
      <c r="E89" s="61" t="n"/>
      <c r="F89" s="61" t="n"/>
      <c r="G89" s="62" t="n"/>
      <c r="H89" s="63">
        <f>IF(A89="","",Settings!$B$4)</f>
        <v/>
      </c>
      <c r="I89" s="62">
        <f>IF(G89="","",IF(OR(B89="Revenue",K89="Yes"),ROUND(G89*H89,2),0))</f>
        <v/>
      </c>
      <c r="J89" s="62">
        <f>IF(G89="","",G89+ROUND(G89*H89,2))</f>
        <v/>
      </c>
      <c r="K89" s="61" t="n"/>
      <c r="L89" s="64">
        <f>IF(A89="","",DATE(YEAR(A89),MONTH(A89),1))</f>
        <v/>
      </c>
      <c r="M89" s="61" t="n"/>
      <c r="N89" s="65" t="n"/>
      <c r="O89" s="62">
        <f>IF(B89="Revenue",G89,0)</f>
        <v/>
      </c>
      <c r="P89" s="62">
        <f>IF(B89="Expense",G89,0)</f>
        <v/>
      </c>
      <c r="Q89" s="61" t="n"/>
    </row>
    <row r="90">
      <c r="A90" s="60" t="n"/>
      <c r="B90" s="61" t="n"/>
      <c r="C90" s="61" t="n"/>
      <c r="D90" s="61" t="n"/>
      <c r="E90" s="61" t="n"/>
      <c r="F90" s="61" t="n"/>
      <c r="G90" s="62" t="n"/>
      <c r="H90" s="63">
        <f>IF(A90="","",Settings!$B$4)</f>
        <v/>
      </c>
      <c r="I90" s="62">
        <f>IF(G90="","",IF(OR(B90="Revenue",K90="Yes"),ROUND(G90*H90,2),0))</f>
        <v/>
      </c>
      <c r="J90" s="62">
        <f>IF(G90="","",G90+ROUND(G90*H90,2))</f>
        <v/>
      </c>
      <c r="K90" s="61" t="n"/>
      <c r="L90" s="64">
        <f>IF(A90="","",DATE(YEAR(A90),MONTH(A90),1))</f>
        <v/>
      </c>
      <c r="M90" s="61" t="n"/>
      <c r="N90" s="65" t="n"/>
      <c r="O90" s="62">
        <f>IF(B90="Revenue",G90,0)</f>
        <v/>
      </c>
      <c r="P90" s="62">
        <f>IF(B90="Expense",G90,0)</f>
        <v/>
      </c>
      <c r="Q90" s="61" t="n"/>
    </row>
    <row r="91">
      <c r="A91" s="60" t="n"/>
      <c r="B91" s="61" t="n"/>
      <c r="C91" s="61" t="n"/>
      <c r="D91" s="61" t="n"/>
      <c r="E91" s="61" t="n"/>
      <c r="F91" s="61" t="n"/>
      <c r="G91" s="62" t="n"/>
      <c r="H91" s="63">
        <f>IF(A91="","",Settings!$B$4)</f>
        <v/>
      </c>
      <c r="I91" s="62">
        <f>IF(G91="","",IF(OR(B91="Revenue",K91="Yes"),ROUND(G91*H91,2),0))</f>
        <v/>
      </c>
      <c r="J91" s="62">
        <f>IF(G91="","",G91+ROUND(G91*H91,2))</f>
        <v/>
      </c>
      <c r="K91" s="61" t="n"/>
      <c r="L91" s="64">
        <f>IF(A91="","",DATE(YEAR(A91),MONTH(A91),1))</f>
        <v/>
      </c>
      <c r="M91" s="61" t="n"/>
      <c r="N91" s="65" t="n"/>
      <c r="O91" s="62">
        <f>IF(B91="Revenue",G91,0)</f>
        <v/>
      </c>
      <c r="P91" s="62">
        <f>IF(B91="Expense",G91,0)</f>
        <v/>
      </c>
      <c r="Q91" s="61" t="n"/>
    </row>
    <row r="92">
      <c r="A92" s="60" t="n"/>
      <c r="B92" s="61" t="n"/>
      <c r="C92" s="61" t="n"/>
      <c r="D92" s="61" t="n"/>
      <c r="E92" s="61" t="n"/>
      <c r="F92" s="61" t="n"/>
      <c r="G92" s="62" t="n"/>
      <c r="H92" s="63">
        <f>IF(A92="","",Settings!$B$4)</f>
        <v/>
      </c>
      <c r="I92" s="62">
        <f>IF(G92="","",IF(OR(B92="Revenue",K92="Yes"),ROUND(G92*H92,2),0))</f>
        <v/>
      </c>
      <c r="J92" s="62">
        <f>IF(G92="","",G92+ROUND(G92*H92,2))</f>
        <v/>
      </c>
      <c r="K92" s="61" t="n"/>
      <c r="L92" s="64">
        <f>IF(A92="","",DATE(YEAR(A92),MONTH(A92),1))</f>
        <v/>
      </c>
      <c r="M92" s="61" t="n"/>
      <c r="N92" s="65" t="n"/>
      <c r="O92" s="62">
        <f>IF(B92="Revenue",G92,0)</f>
        <v/>
      </c>
      <c r="P92" s="62">
        <f>IF(B92="Expense",G92,0)</f>
        <v/>
      </c>
      <c r="Q92" s="61" t="n"/>
    </row>
    <row r="93">
      <c r="A93" s="60" t="n"/>
      <c r="B93" s="61" t="n"/>
      <c r="C93" s="61" t="n"/>
      <c r="D93" s="61" t="n"/>
      <c r="E93" s="61" t="n"/>
      <c r="F93" s="61" t="n"/>
      <c r="G93" s="62" t="n"/>
      <c r="H93" s="63">
        <f>IF(A93="","",Settings!$B$4)</f>
        <v/>
      </c>
      <c r="I93" s="62">
        <f>IF(G93="","",IF(OR(B93="Revenue",K93="Yes"),ROUND(G93*H93,2),0))</f>
        <v/>
      </c>
      <c r="J93" s="62">
        <f>IF(G93="","",G93+ROUND(G93*H93,2))</f>
        <v/>
      </c>
      <c r="K93" s="61" t="n"/>
      <c r="L93" s="64">
        <f>IF(A93="","",DATE(YEAR(A93),MONTH(A93),1))</f>
        <v/>
      </c>
      <c r="M93" s="61" t="n"/>
      <c r="N93" s="65" t="n"/>
      <c r="O93" s="62">
        <f>IF(B93="Revenue",G93,0)</f>
        <v/>
      </c>
      <c r="P93" s="62">
        <f>IF(B93="Expense",G93,0)</f>
        <v/>
      </c>
      <c r="Q93" s="61" t="n"/>
    </row>
    <row r="94">
      <c r="A94" s="60" t="n"/>
      <c r="B94" s="61" t="n"/>
      <c r="C94" s="61" t="n"/>
      <c r="D94" s="61" t="n"/>
      <c r="E94" s="61" t="n"/>
      <c r="F94" s="61" t="n"/>
      <c r="G94" s="62" t="n"/>
      <c r="H94" s="63">
        <f>IF(A94="","",Settings!$B$4)</f>
        <v/>
      </c>
      <c r="I94" s="62">
        <f>IF(G94="","",IF(OR(B94="Revenue",K94="Yes"),ROUND(G94*H94,2),0))</f>
        <v/>
      </c>
      <c r="J94" s="62">
        <f>IF(G94="","",G94+ROUND(G94*H94,2))</f>
        <v/>
      </c>
      <c r="K94" s="61" t="n"/>
      <c r="L94" s="64">
        <f>IF(A94="","",DATE(YEAR(A94),MONTH(A94),1))</f>
        <v/>
      </c>
      <c r="M94" s="61" t="n"/>
      <c r="N94" s="65" t="n"/>
      <c r="O94" s="62">
        <f>IF(B94="Revenue",G94,0)</f>
        <v/>
      </c>
      <c r="P94" s="62">
        <f>IF(B94="Expense",G94,0)</f>
        <v/>
      </c>
      <c r="Q94" s="61" t="n"/>
    </row>
    <row r="95">
      <c r="A95" s="60" t="n"/>
      <c r="B95" s="61" t="n"/>
      <c r="C95" s="61" t="n"/>
      <c r="D95" s="61" t="n"/>
      <c r="E95" s="61" t="n"/>
      <c r="F95" s="61" t="n"/>
      <c r="G95" s="62" t="n"/>
      <c r="H95" s="63">
        <f>IF(A95="","",Settings!$B$4)</f>
        <v/>
      </c>
      <c r="I95" s="62">
        <f>IF(G95="","",IF(OR(B95="Revenue",K95="Yes"),ROUND(G95*H95,2),0))</f>
        <v/>
      </c>
      <c r="J95" s="62">
        <f>IF(G95="","",G95+ROUND(G95*H95,2))</f>
        <v/>
      </c>
      <c r="K95" s="61" t="n"/>
      <c r="L95" s="64">
        <f>IF(A95="","",DATE(YEAR(A95),MONTH(A95),1))</f>
        <v/>
      </c>
      <c r="M95" s="61" t="n"/>
      <c r="N95" s="65" t="n"/>
      <c r="O95" s="62">
        <f>IF(B95="Revenue",G95,0)</f>
        <v/>
      </c>
      <c r="P95" s="62">
        <f>IF(B95="Expense",G95,0)</f>
        <v/>
      </c>
      <c r="Q95" s="61" t="n"/>
    </row>
    <row r="96">
      <c r="A96" s="60" t="n"/>
      <c r="B96" s="61" t="n"/>
      <c r="C96" s="61" t="n"/>
      <c r="D96" s="61" t="n"/>
      <c r="E96" s="61" t="n"/>
      <c r="F96" s="61" t="n"/>
      <c r="G96" s="62" t="n"/>
      <c r="H96" s="63">
        <f>IF(A96="","",Settings!$B$4)</f>
        <v/>
      </c>
      <c r="I96" s="62">
        <f>IF(G96="","",IF(OR(B96="Revenue",K96="Yes"),ROUND(G96*H96,2),0))</f>
        <v/>
      </c>
      <c r="J96" s="62">
        <f>IF(G96="","",G96+ROUND(G96*H96,2))</f>
        <v/>
      </c>
      <c r="K96" s="61" t="n"/>
      <c r="L96" s="64">
        <f>IF(A96="","",DATE(YEAR(A96),MONTH(A96),1))</f>
        <v/>
      </c>
      <c r="M96" s="61" t="n"/>
      <c r="N96" s="65" t="n"/>
      <c r="O96" s="62">
        <f>IF(B96="Revenue",G96,0)</f>
        <v/>
      </c>
      <c r="P96" s="62">
        <f>IF(B96="Expense",G96,0)</f>
        <v/>
      </c>
      <c r="Q96" s="61" t="n"/>
    </row>
    <row r="97">
      <c r="A97" s="60" t="n"/>
      <c r="B97" s="61" t="n"/>
      <c r="C97" s="61" t="n"/>
      <c r="D97" s="61" t="n"/>
      <c r="E97" s="61" t="n"/>
      <c r="F97" s="61" t="n"/>
      <c r="G97" s="62" t="n"/>
      <c r="H97" s="63">
        <f>IF(A97="","",Settings!$B$4)</f>
        <v/>
      </c>
      <c r="I97" s="62">
        <f>IF(G97="","",IF(OR(B97="Revenue",K97="Yes"),ROUND(G97*H97,2),0))</f>
        <v/>
      </c>
      <c r="J97" s="62">
        <f>IF(G97="","",G97+ROUND(G97*H97,2))</f>
        <v/>
      </c>
      <c r="K97" s="61" t="n"/>
      <c r="L97" s="64">
        <f>IF(A97="","",DATE(YEAR(A97),MONTH(A97),1))</f>
        <v/>
      </c>
      <c r="M97" s="61" t="n"/>
      <c r="N97" s="65" t="n"/>
      <c r="O97" s="62">
        <f>IF(B97="Revenue",G97,0)</f>
        <v/>
      </c>
      <c r="P97" s="62">
        <f>IF(B97="Expense",G97,0)</f>
        <v/>
      </c>
      <c r="Q97" s="61" t="n"/>
    </row>
    <row r="98">
      <c r="A98" s="60" t="n"/>
      <c r="B98" s="61" t="n"/>
      <c r="C98" s="61" t="n"/>
      <c r="D98" s="61" t="n"/>
      <c r="E98" s="61" t="n"/>
      <c r="F98" s="61" t="n"/>
      <c r="G98" s="62" t="n"/>
      <c r="H98" s="63">
        <f>IF(A98="","",Settings!$B$4)</f>
        <v/>
      </c>
      <c r="I98" s="62">
        <f>IF(G98="","",IF(OR(B98="Revenue",K98="Yes"),ROUND(G98*H98,2),0))</f>
        <v/>
      </c>
      <c r="J98" s="62">
        <f>IF(G98="","",G98+ROUND(G98*H98,2))</f>
        <v/>
      </c>
      <c r="K98" s="61" t="n"/>
      <c r="L98" s="64">
        <f>IF(A98="","",DATE(YEAR(A98),MONTH(A98),1))</f>
        <v/>
      </c>
      <c r="M98" s="61" t="n"/>
      <c r="N98" s="65" t="n"/>
      <c r="O98" s="62">
        <f>IF(B98="Revenue",G98,0)</f>
        <v/>
      </c>
      <c r="P98" s="62">
        <f>IF(B98="Expense",G98,0)</f>
        <v/>
      </c>
      <c r="Q98" s="61" t="n"/>
    </row>
    <row r="99">
      <c r="A99" s="60" t="n"/>
      <c r="B99" s="61" t="n"/>
      <c r="C99" s="61" t="n"/>
      <c r="D99" s="61" t="n"/>
      <c r="E99" s="61" t="n"/>
      <c r="F99" s="61" t="n"/>
      <c r="G99" s="62" t="n"/>
      <c r="H99" s="63">
        <f>IF(A99="","",Settings!$B$4)</f>
        <v/>
      </c>
      <c r="I99" s="62">
        <f>IF(G99="","",IF(OR(B99="Revenue",K99="Yes"),ROUND(G99*H99,2),0))</f>
        <v/>
      </c>
      <c r="J99" s="62">
        <f>IF(G99="","",G99+ROUND(G99*H99,2))</f>
        <v/>
      </c>
      <c r="K99" s="61" t="n"/>
      <c r="L99" s="64">
        <f>IF(A99="","",DATE(YEAR(A99),MONTH(A99),1))</f>
        <v/>
      </c>
      <c r="M99" s="61" t="n"/>
      <c r="N99" s="65" t="n"/>
      <c r="O99" s="62">
        <f>IF(B99="Revenue",G99,0)</f>
        <v/>
      </c>
      <c r="P99" s="62">
        <f>IF(B99="Expense",G99,0)</f>
        <v/>
      </c>
      <c r="Q99" s="61" t="n"/>
    </row>
    <row r="100">
      <c r="A100" s="60" t="n"/>
      <c r="B100" s="61" t="n"/>
      <c r="C100" s="61" t="n"/>
      <c r="D100" s="61" t="n"/>
      <c r="E100" s="61" t="n"/>
      <c r="F100" s="61" t="n"/>
      <c r="G100" s="62" t="n"/>
      <c r="H100" s="63">
        <f>IF(A100="","",Settings!$B$4)</f>
        <v/>
      </c>
      <c r="I100" s="62">
        <f>IF(G100="","",IF(OR(B100="Revenue",K100="Yes"),ROUND(G100*H100,2),0))</f>
        <v/>
      </c>
      <c r="J100" s="62">
        <f>IF(G100="","",G100+ROUND(G100*H100,2))</f>
        <v/>
      </c>
      <c r="K100" s="61" t="n"/>
      <c r="L100" s="64">
        <f>IF(A100="","",DATE(YEAR(A100),MONTH(A100),1))</f>
        <v/>
      </c>
      <c r="M100" s="61" t="n"/>
      <c r="N100" s="65" t="n"/>
      <c r="O100" s="62">
        <f>IF(B100="Revenue",G100,0)</f>
        <v/>
      </c>
      <c r="P100" s="62">
        <f>IF(B100="Expense",G100,0)</f>
        <v/>
      </c>
      <c r="Q100" s="61" t="n"/>
    </row>
    <row r="101"/>
    <row r="102">
      <c r="A102" s="58" t="inlineStr">
        <is>
          <t>April 2026 / เดือน Apr</t>
        </is>
      </c>
    </row>
    <row r="103">
      <c r="A103" s="59" t="inlineStr">
        <is>
          <t>วันที่</t>
        </is>
      </c>
      <c r="B103" s="59" t="inlineStr">
        <is>
          <t>ประเภท</t>
        </is>
      </c>
      <c r="C103" s="59" t="inlineStr">
        <is>
          <t>เลขที่เอกสาร</t>
        </is>
      </c>
      <c r="D103" s="59" t="inlineStr">
        <is>
          <t>ลูกค้า/ผู้ขาย</t>
        </is>
      </c>
      <c r="E103" s="59" t="inlineStr">
        <is>
          <t>รายละเอียด</t>
        </is>
      </c>
      <c r="F103" s="59" t="inlineStr">
        <is>
          <t>หมวด</t>
        </is>
      </c>
      <c r="G103" s="59" t="inlineStr">
        <is>
          <t>ยอดก่อน VAT</t>
        </is>
      </c>
      <c r="H103" s="59" t="inlineStr">
        <is>
          <t>อัตรา VAT</t>
        </is>
      </c>
      <c r="I103" s="59" t="inlineStr">
        <is>
          <t>VAT</t>
        </is>
      </c>
      <c r="J103" s="59" t="inlineStr">
        <is>
          <t>ยอดรวม</t>
        </is>
      </c>
      <c r="K103" s="59" t="inlineStr">
        <is>
          <t>รับเงิน/ขอคืน VAT?</t>
        </is>
      </c>
      <c r="L103" s="59" t="inlineStr">
        <is>
          <t>เดือน</t>
        </is>
      </c>
      <c r="M103" s="59" t="inlineStr">
        <is>
          <t>ไฟล์เอกสาร</t>
        </is>
      </c>
      <c r="N103" s="59" t="inlineStr">
        <is>
          <t>OCR Confidence</t>
        </is>
      </c>
      <c r="O103" s="59" t="inlineStr">
        <is>
          <t>รายรับก่อน VAT</t>
        </is>
      </c>
      <c r="P103" s="59" t="inlineStr">
        <is>
          <t>ค่าใช้จ่ายก่อน VAT</t>
        </is>
      </c>
      <c r="Q103" s="59" t="inlineStr">
        <is>
          <t>หมายเหตุ</t>
        </is>
      </c>
      <c r="R103" s="74" t="inlineStr">
        <is>
          <t>ประเภทเอกสาร</t>
        </is>
      </c>
    </row>
    <row r="104">
      <c r="A104" s="60" t="n"/>
      <c r="B104" s="61" t="n"/>
      <c r="C104" s="61" t="n"/>
      <c r="D104" s="61" t="n"/>
      <c r="E104" s="61" t="n"/>
      <c r="F104" s="61" t="n"/>
      <c r="G104" s="62" t="n"/>
      <c r="H104" s="63">
        <f>IF(A104="","",Settings!$B$4)</f>
        <v/>
      </c>
      <c r="I104" s="62">
        <f>IF(G104="","",IF(OR(B104="Revenue",K104="Yes"),ROUND(G104*H104,2),0))</f>
        <v/>
      </c>
      <c r="J104" s="62">
        <f>IF(G104="","",G104+ROUND(G104*H104,2))</f>
        <v/>
      </c>
      <c r="K104" s="61" t="n"/>
      <c r="L104" s="64">
        <f>IF(A104="","",DATE(YEAR(A104),MONTH(A104),1))</f>
        <v/>
      </c>
      <c r="M104" s="61" t="n"/>
      <c r="N104" s="65" t="n"/>
      <c r="O104" s="62">
        <f>IF(B104="Revenue",G104,0)</f>
        <v/>
      </c>
      <c r="P104" s="62">
        <f>IF(B104="Expense",G104,0)</f>
        <v/>
      </c>
      <c r="Q104" s="61" t="n"/>
    </row>
    <row r="105">
      <c r="A105" s="60" t="n"/>
      <c r="B105" s="61" t="n"/>
      <c r="C105" s="61" t="n"/>
      <c r="D105" s="61" t="n"/>
      <c r="E105" s="61" t="n"/>
      <c r="F105" s="61" t="n"/>
      <c r="G105" s="62" t="n"/>
      <c r="H105" s="63">
        <f>IF(A105="","",Settings!$B$4)</f>
        <v/>
      </c>
      <c r="I105" s="62">
        <f>IF(G105="","",IF(OR(B105="Revenue",K105="Yes"),ROUND(G105*H105,2),0))</f>
        <v/>
      </c>
      <c r="J105" s="62">
        <f>IF(G105="","",G105+ROUND(G105*H105,2))</f>
        <v/>
      </c>
      <c r="K105" s="61" t="n"/>
      <c r="L105" s="64">
        <f>IF(A105="","",DATE(YEAR(A105),MONTH(A105),1))</f>
        <v/>
      </c>
      <c r="M105" s="61" t="n"/>
      <c r="N105" s="65" t="n"/>
      <c r="O105" s="62">
        <f>IF(B105="Revenue",G105,0)</f>
        <v/>
      </c>
      <c r="P105" s="62">
        <f>IF(B105="Expense",G105,0)</f>
        <v/>
      </c>
      <c r="Q105" s="61" t="n"/>
    </row>
    <row r="106">
      <c r="A106" s="60" t="n"/>
      <c r="B106" s="61" t="n"/>
      <c r="C106" s="61" t="n"/>
      <c r="D106" s="61" t="n"/>
      <c r="E106" s="61" t="n"/>
      <c r="F106" s="61" t="n"/>
      <c r="G106" s="62" t="n"/>
      <c r="H106" s="63">
        <f>IF(A106="","",Settings!$B$4)</f>
        <v/>
      </c>
      <c r="I106" s="62">
        <f>IF(G106="","",IF(OR(B106="Revenue",K106="Yes"),ROUND(G106*H106,2),0))</f>
        <v/>
      </c>
      <c r="J106" s="62">
        <f>IF(G106="","",G106+ROUND(G106*H106,2))</f>
        <v/>
      </c>
      <c r="K106" s="61" t="n"/>
      <c r="L106" s="64">
        <f>IF(A106="","",DATE(YEAR(A106),MONTH(A106),1))</f>
        <v/>
      </c>
      <c r="M106" s="61" t="n"/>
      <c r="N106" s="65" t="n"/>
      <c r="O106" s="62">
        <f>IF(B106="Revenue",G106,0)</f>
        <v/>
      </c>
      <c r="P106" s="62">
        <f>IF(B106="Expense",G106,0)</f>
        <v/>
      </c>
      <c r="Q106" s="61" t="n"/>
    </row>
    <row r="107">
      <c r="A107" s="60" t="n"/>
      <c r="B107" s="61" t="n"/>
      <c r="C107" s="61" t="n"/>
      <c r="D107" s="61" t="n"/>
      <c r="E107" s="61" t="n"/>
      <c r="F107" s="61" t="n"/>
      <c r="G107" s="62" t="n"/>
      <c r="H107" s="63">
        <f>IF(A107="","",Settings!$B$4)</f>
        <v/>
      </c>
      <c r="I107" s="62">
        <f>IF(G107="","",IF(OR(B107="Revenue",K107="Yes"),ROUND(G107*H107,2),0))</f>
        <v/>
      </c>
      <c r="J107" s="62">
        <f>IF(G107="","",G107+ROUND(G107*H107,2))</f>
        <v/>
      </c>
      <c r="K107" s="61" t="n"/>
      <c r="L107" s="64">
        <f>IF(A107="","",DATE(YEAR(A107),MONTH(A107),1))</f>
        <v/>
      </c>
      <c r="M107" s="61" t="n"/>
      <c r="N107" s="65" t="n"/>
      <c r="O107" s="62">
        <f>IF(B107="Revenue",G107,0)</f>
        <v/>
      </c>
      <c r="P107" s="62">
        <f>IF(B107="Expense",G107,0)</f>
        <v/>
      </c>
      <c r="Q107" s="61" t="n"/>
    </row>
    <row r="108">
      <c r="A108" s="60" t="n"/>
      <c r="B108" s="61" t="n"/>
      <c r="C108" s="61" t="n"/>
      <c r="D108" s="61" t="n"/>
      <c r="E108" s="61" t="n"/>
      <c r="F108" s="61" t="n"/>
      <c r="G108" s="62" t="n"/>
      <c r="H108" s="63">
        <f>IF(A108="","",Settings!$B$4)</f>
        <v/>
      </c>
      <c r="I108" s="62">
        <f>IF(G108="","",IF(OR(B108="Revenue",K108="Yes"),ROUND(G108*H108,2),0))</f>
        <v/>
      </c>
      <c r="J108" s="62">
        <f>IF(G108="","",G108+ROUND(G108*H108,2))</f>
        <v/>
      </c>
      <c r="K108" s="61" t="n"/>
      <c r="L108" s="64">
        <f>IF(A108="","",DATE(YEAR(A108),MONTH(A108),1))</f>
        <v/>
      </c>
      <c r="M108" s="61" t="n"/>
      <c r="N108" s="65" t="n"/>
      <c r="O108" s="62">
        <f>IF(B108="Revenue",G108,0)</f>
        <v/>
      </c>
      <c r="P108" s="62">
        <f>IF(B108="Expense",G108,0)</f>
        <v/>
      </c>
      <c r="Q108" s="61" t="n"/>
    </row>
    <row r="109">
      <c r="A109" s="60" t="n"/>
      <c r="B109" s="61" t="n"/>
      <c r="C109" s="61" t="n"/>
      <c r="D109" s="61" t="n"/>
      <c r="E109" s="61" t="n"/>
      <c r="F109" s="61" t="n"/>
      <c r="G109" s="62" t="n"/>
      <c r="H109" s="63">
        <f>IF(A109="","",Settings!$B$4)</f>
        <v/>
      </c>
      <c r="I109" s="62">
        <f>IF(G109="","",IF(OR(B109="Revenue",K109="Yes"),ROUND(G109*H109,2),0))</f>
        <v/>
      </c>
      <c r="J109" s="62">
        <f>IF(G109="","",G109+ROUND(G109*H109,2))</f>
        <v/>
      </c>
      <c r="K109" s="61" t="n"/>
      <c r="L109" s="64">
        <f>IF(A109="","",DATE(YEAR(A109),MONTH(A109),1))</f>
        <v/>
      </c>
      <c r="M109" s="61" t="n"/>
      <c r="N109" s="65" t="n"/>
      <c r="O109" s="62">
        <f>IF(B109="Revenue",G109,0)</f>
        <v/>
      </c>
      <c r="P109" s="62">
        <f>IF(B109="Expense",G109,0)</f>
        <v/>
      </c>
      <c r="Q109" s="61" t="n"/>
    </row>
    <row r="110">
      <c r="A110" s="60" t="n"/>
      <c r="B110" s="61" t="n"/>
      <c r="C110" s="61" t="n"/>
      <c r="D110" s="61" t="n"/>
      <c r="E110" s="61" t="n"/>
      <c r="F110" s="61" t="n"/>
      <c r="G110" s="62" t="n"/>
      <c r="H110" s="63">
        <f>IF(A110="","",Settings!$B$4)</f>
        <v/>
      </c>
      <c r="I110" s="62">
        <f>IF(G110="","",IF(OR(B110="Revenue",K110="Yes"),ROUND(G110*H110,2),0))</f>
        <v/>
      </c>
      <c r="J110" s="62">
        <f>IF(G110="","",G110+ROUND(G110*H110,2))</f>
        <v/>
      </c>
      <c r="K110" s="61" t="n"/>
      <c r="L110" s="64">
        <f>IF(A110="","",DATE(YEAR(A110),MONTH(A110),1))</f>
        <v/>
      </c>
      <c r="M110" s="61" t="n"/>
      <c r="N110" s="65" t="n"/>
      <c r="O110" s="62">
        <f>IF(B110="Revenue",G110,0)</f>
        <v/>
      </c>
      <c r="P110" s="62">
        <f>IF(B110="Expense",G110,0)</f>
        <v/>
      </c>
      <c r="Q110" s="61" t="n"/>
    </row>
    <row r="111">
      <c r="A111" s="60" t="n"/>
      <c r="B111" s="61" t="n"/>
      <c r="C111" s="61" t="n"/>
      <c r="D111" s="61" t="n"/>
      <c r="E111" s="61" t="n"/>
      <c r="F111" s="61" t="n"/>
      <c r="G111" s="62" t="n"/>
      <c r="H111" s="63">
        <f>IF(A111="","",Settings!$B$4)</f>
        <v/>
      </c>
      <c r="I111" s="62">
        <f>IF(G111="","",IF(OR(B111="Revenue",K111="Yes"),ROUND(G111*H111,2),0))</f>
        <v/>
      </c>
      <c r="J111" s="62">
        <f>IF(G111="","",G111+ROUND(G111*H111,2))</f>
        <v/>
      </c>
      <c r="K111" s="61" t="n"/>
      <c r="L111" s="64">
        <f>IF(A111="","",DATE(YEAR(A111),MONTH(A111),1))</f>
        <v/>
      </c>
      <c r="M111" s="61" t="n"/>
      <c r="N111" s="65" t="n"/>
      <c r="O111" s="62">
        <f>IF(B111="Revenue",G111,0)</f>
        <v/>
      </c>
      <c r="P111" s="62">
        <f>IF(B111="Expense",G111,0)</f>
        <v/>
      </c>
      <c r="Q111" s="61" t="n"/>
    </row>
    <row r="112">
      <c r="A112" s="60" t="n"/>
      <c r="B112" s="61" t="n"/>
      <c r="C112" s="61" t="n"/>
      <c r="D112" s="61" t="n"/>
      <c r="E112" s="61" t="n"/>
      <c r="F112" s="61" t="n"/>
      <c r="G112" s="62" t="n"/>
      <c r="H112" s="63">
        <f>IF(A112="","",Settings!$B$4)</f>
        <v/>
      </c>
      <c r="I112" s="62">
        <f>IF(G112="","",IF(OR(B112="Revenue",K112="Yes"),ROUND(G112*H112,2),0))</f>
        <v/>
      </c>
      <c r="J112" s="62">
        <f>IF(G112="","",G112+ROUND(G112*H112,2))</f>
        <v/>
      </c>
      <c r="K112" s="61" t="n"/>
      <c r="L112" s="64">
        <f>IF(A112="","",DATE(YEAR(A112),MONTH(A112),1))</f>
        <v/>
      </c>
      <c r="M112" s="61" t="n"/>
      <c r="N112" s="65" t="n"/>
      <c r="O112" s="62">
        <f>IF(B112="Revenue",G112,0)</f>
        <v/>
      </c>
      <c r="P112" s="62">
        <f>IF(B112="Expense",G112,0)</f>
        <v/>
      </c>
      <c r="Q112" s="61" t="n"/>
    </row>
    <row r="113">
      <c r="A113" s="60" t="n"/>
      <c r="B113" s="61" t="n"/>
      <c r="C113" s="61" t="n"/>
      <c r="D113" s="61" t="n"/>
      <c r="E113" s="61" t="n"/>
      <c r="F113" s="61" t="n"/>
      <c r="G113" s="62" t="n"/>
      <c r="H113" s="63">
        <f>IF(A113="","",Settings!$B$4)</f>
        <v/>
      </c>
      <c r="I113" s="62">
        <f>IF(G113="","",IF(OR(B113="Revenue",K113="Yes"),ROUND(G113*H113,2),0))</f>
        <v/>
      </c>
      <c r="J113" s="62">
        <f>IF(G113="","",G113+ROUND(G113*H113,2))</f>
        <v/>
      </c>
      <c r="K113" s="61" t="n"/>
      <c r="L113" s="64">
        <f>IF(A113="","",DATE(YEAR(A113),MONTH(A113),1))</f>
        <v/>
      </c>
      <c r="M113" s="61" t="n"/>
      <c r="N113" s="65" t="n"/>
      <c r="O113" s="62">
        <f>IF(B113="Revenue",G113,0)</f>
        <v/>
      </c>
      <c r="P113" s="62">
        <f>IF(B113="Expense",G113,0)</f>
        <v/>
      </c>
      <c r="Q113" s="61" t="n"/>
    </row>
    <row r="114">
      <c r="A114" s="60" t="n"/>
      <c r="B114" s="61" t="n"/>
      <c r="C114" s="61" t="n"/>
      <c r="D114" s="61" t="n"/>
      <c r="E114" s="61" t="n"/>
      <c r="F114" s="61" t="n"/>
      <c r="G114" s="62" t="n"/>
      <c r="H114" s="63">
        <f>IF(A114="","",Settings!$B$4)</f>
        <v/>
      </c>
      <c r="I114" s="62">
        <f>IF(G114="","",IF(OR(B114="Revenue",K114="Yes"),ROUND(G114*H114,2),0))</f>
        <v/>
      </c>
      <c r="J114" s="62">
        <f>IF(G114="","",G114+ROUND(G114*H114,2))</f>
        <v/>
      </c>
      <c r="K114" s="61" t="n"/>
      <c r="L114" s="64">
        <f>IF(A114="","",DATE(YEAR(A114),MONTH(A114),1))</f>
        <v/>
      </c>
      <c r="M114" s="61" t="n"/>
      <c r="N114" s="65" t="n"/>
      <c r="O114" s="62">
        <f>IF(B114="Revenue",G114,0)</f>
        <v/>
      </c>
      <c r="P114" s="62">
        <f>IF(B114="Expense",G114,0)</f>
        <v/>
      </c>
      <c r="Q114" s="61" t="n"/>
    </row>
    <row r="115">
      <c r="A115" s="60" t="n"/>
      <c r="B115" s="61" t="n"/>
      <c r="C115" s="61" t="n"/>
      <c r="D115" s="61" t="n"/>
      <c r="E115" s="61" t="n"/>
      <c r="F115" s="61" t="n"/>
      <c r="G115" s="62" t="n"/>
      <c r="H115" s="63">
        <f>IF(A115="","",Settings!$B$4)</f>
        <v/>
      </c>
      <c r="I115" s="62">
        <f>IF(G115="","",IF(OR(B115="Revenue",K115="Yes"),ROUND(G115*H115,2),0))</f>
        <v/>
      </c>
      <c r="J115" s="62">
        <f>IF(G115="","",G115+ROUND(G115*H115,2))</f>
        <v/>
      </c>
      <c r="K115" s="61" t="n"/>
      <c r="L115" s="64">
        <f>IF(A115="","",DATE(YEAR(A115),MONTH(A115),1))</f>
        <v/>
      </c>
      <c r="M115" s="61" t="n"/>
      <c r="N115" s="65" t="n"/>
      <c r="O115" s="62">
        <f>IF(B115="Revenue",G115,0)</f>
        <v/>
      </c>
      <c r="P115" s="62">
        <f>IF(B115="Expense",G115,0)</f>
        <v/>
      </c>
      <c r="Q115" s="61" t="n"/>
    </row>
    <row r="116">
      <c r="A116" s="60" t="n"/>
      <c r="B116" s="61" t="n"/>
      <c r="C116" s="61" t="n"/>
      <c r="D116" s="61" t="n"/>
      <c r="E116" s="61" t="n"/>
      <c r="F116" s="61" t="n"/>
      <c r="G116" s="62" t="n"/>
      <c r="H116" s="63">
        <f>IF(A116="","",Settings!$B$4)</f>
        <v/>
      </c>
      <c r="I116" s="62">
        <f>IF(G116="","",IF(OR(B116="Revenue",K116="Yes"),ROUND(G116*H116,2),0))</f>
        <v/>
      </c>
      <c r="J116" s="62">
        <f>IF(G116="","",G116+ROUND(G116*H116,2))</f>
        <v/>
      </c>
      <c r="K116" s="61" t="n"/>
      <c r="L116" s="64">
        <f>IF(A116="","",DATE(YEAR(A116),MONTH(A116),1))</f>
        <v/>
      </c>
      <c r="M116" s="61" t="n"/>
      <c r="N116" s="65" t="n"/>
      <c r="O116" s="62">
        <f>IF(B116="Revenue",G116,0)</f>
        <v/>
      </c>
      <c r="P116" s="62">
        <f>IF(B116="Expense",G116,0)</f>
        <v/>
      </c>
      <c r="Q116" s="61" t="n"/>
    </row>
    <row r="117">
      <c r="A117" s="60" t="n"/>
      <c r="B117" s="61" t="n"/>
      <c r="C117" s="61" t="n"/>
      <c r="D117" s="61" t="n"/>
      <c r="E117" s="61" t="n"/>
      <c r="F117" s="61" t="n"/>
      <c r="G117" s="62" t="n"/>
      <c r="H117" s="63">
        <f>IF(A117="","",Settings!$B$4)</f>
        <v/>
      </c>
      <c r="I117" s="62">
        <f>IF(G117="","",IF(OR(B117="Revenue",K117="Yes"),ROUND(G117*H117,2),0))</f>
        <v/>
      </c>
      <c r="J117" s="62">
        <f>IF(G117="","",G117+ROUND(G117*H117,2))</f>
        <v/>
      </c>
      <c r="K117" s="61" t="n"/>
      <c r="L117" s="64">
        <f>IF(A117="","",DATE(YEAR(A117),MONTH(A117),1))</f>
        <v/>
      </c>
      <c r="M117" s="61" t="n"/>
      <c r="N117" s="65" t="n"/>
      <c r="O117" s="62">
        <f>IF(B117="Revenue",G117,0)</f>
        <v/>
      </c>
      <c r="P117" s="62">
        <f>IF(B117="Expense",G117,0)</f>
        <v/>
      </c>
      <c r="Q117" s="61" t="n"/>
    </row>
    <row r="118">
      <c r="A118" s="60" t="n"/>
      <c r="B118" s="61" t="n"/>
      <c r="C118" s="61" t="n"/>
      <c r="D118" s="61" t="n"/>
      <c r="E118" s="61" t="n"/>
      <c r="F118" s="61" t="n"/>
      <c r="G118" s="62" t="n"/>
      <c r="H118" s="63">
        <f>IF(A118="","",Settings!$B$4)</f>
        <v/>
      </c>
      <c r="I118" s="62">
        <f>IF(G118="","",IF(OR(B118="Revenue",K118="Yes"),ROUND(G118*H118,2),0))</f>
        <v/>
      </c>
      <c r="J118" s="62">
        <f>IF(G118="","",G118+ROUND(G118*H118,2))</f>
        <v/>
      </c>
      <c r="K118" s="61" t="n"/>
      <c r="L118" s="64">
        <f>IF(A118="","",DATE(YEAR(A118),MONTH(A118),1))</f>
        <v/>
      </c>
      <c r="M118" s="61" t="n"/>
      <c r="N118" s="65" t="n"/>
      <c r="O118" s="62">
        <f>IF(B118="Revenue",G118,0)</f>
        <v/>
      </c>
      <c r="P118" s="62">
        <f>IF(B118="Expense",G118,0)</f>
        <v/>
      </c>
      <c r="Q118" s="61" t="n"/>
    </row>
    <row r="119">
      <c r="A119" s="60" t="n"/>
      <c r="B119" s="61" t="n"/>
      <c r="C119" s="61" t="n"/>
      <c r="D119" s="61" t="n"/>
      <c r="E119" s="61" t="n"/>
      <c r="F119" s="61" t="n"/>
      <c r="G119" s="62" t="n"/>
      <c r="H119" s="63">
        <f>IF(A119="","",Settings!$B$4)</f>
        <v/>
      </c>
      <c r="I119" s="62">
        <f>IF(G119="","",IF(OR(B119="Revenue",K119="Yes"),ROUND(G119*H119,2),0))</f>
        <v/>
      </c>
      <c r="J119" s="62">
        <f>IF(G119="","",G119+ROUND(G119*H119,2))</f>
        <v/>
      </c>
      <c r="K119" s="61" t="n"/>
      <c r="L119" s="64">
        <f>IF(A119="","",DATE(YEAR(A119),MONTH(A119),1))</f>
        <v/>
      </c>
      <c r="M119" s="61" t="n"/>
      <c r="N119" s="65" t="n"/>
      <c r="O119" s="62">
        <f>IF(B119="Revenue",G119,0)</f>
        <v/>
      </c>
      <c r="P119" s="62">
        <f>IF(B119="Expense",G119,0)</f>
        <v/>
      </c>
      <c r="Q119" s="61" t="n"/>
    </row>
    <row r="120">
      <c r="A120" s="60" t="n"/>
      <c r="B120" s="61" t="n"/>
      <c r="C120" s="61" t="n"/>
      <c r="D120" s="61" t="n"/>
      <c r="E120" s="61" t="n"/>
      <c r="F120" s="61" t="n"/>
      <c r="G120" s="62" t="n"/>
      <c r="H120" s="63">
        <f>IF(A120="","",Settings!$B$4)</f>
        <v/>
      </c>
      <c r="I120" s="62">
        <f>IF(G120="","",IF(OR(B120="Revenue",K120="Yes"),ROUND(G120*H120,2),0))</f>
        <v/>
      </c>
      <c r="J120" s="62">
        <f>IF(G120="","",G120+ROUND(G120*H120,2))</f>
        <v/>
      </c>
      <c r="K120" s="61" t="n"/>
      <c r="L120" s="64">
        <f>IF(A120="","",DATE(YEAR(A120),MONTH(A120),1))</f>
        <v/>
      </c>
      <c r="M120" s="61" t="n"/>
      <c r="N120" s="65" t="n"/>
      <c r="O120" s="62">
        <f>IF(B120="Revenue",G120,0)</f>
        <v/>
      </c>
      <c r="P120" s="62">
        <f>IF(B120="Expense",G120,0)</f>
        <v/>
      </c>
      <c r="Q120" s="61" t="n"/>
    </row>
    <row r="121">
      <c r="A121" s="60" t="n"/>
      <c r="B121" s="61" t="n"/>
      <c r="C121" s="61" t="n"/>
      <c r="D121" s="61" t="n"/>
      <c r="E121" s="61" t="n"/>
      <c r="F121" s="61" t="n"/>
      <c r="G121" s="62" t="n"/>
      <c r="H121" s="63">
        <f>IF(A121="","",Settings!$B$4)</f>
        <v/>
      </c>
      <c r="I121" s="62">
        <f>IF(G121="","",IF(OR(B121="Revenue",K121="Yes"),ROUND(G121*H121,2),0))</f>
        <v/>
      </c>
      <c r="J121" s="62">
        <f>IF(G121="","",G121+ROUND(G121*H121,2))</f>
        <v/>
      </c>
      <c r="K121" s="61" t="n"/>
      <c r="L121" s="64">
        <f>IF(A121="","",DATE(YEAR(A121),MONTH(A121),1))</f>
        <v/>
      </c>
      <c r="M121" s="61" t="n"/>
      <c r="N121" s="65" t="n"/>
      <c r="O121" s="62">
        <f>IF(B121="Revenue",G121,0)</f>
        <v/>
      </c>
      <c r="P121" s="62">
        <f>IF(B121="Expense",G121,0)</f>
        <v/>
      </c>
      <c r="Q121" s="61" t="n"/>
    </row>
    <row r="122">
      <c r="A122" s="60" t="n"/>
      <c r="B122" s="61" t="n"/>
      <c r="C122" s="61" t="n"/>
      <c r="D122" s="61" t="n"/>
      <c r="E122" s="61" t="n"/>
      <c r="F122" s="61" t="n"/>
      <c r="G122" s="62" t="n"/>
      <c r="H122" s="63">
        <f>IF(A122="","",Settings!$B$4)</f>
        <v/>
      </c>
      <c r="I122" s="62">
        <f>IF(G122="","",IF(OR(B122="Revenue",K122="Yes"),ROUND(G122*H122,2),0))</f>
        <v/>
      </c>
      <c r="J122" s="62">
        <f>IF(G122="","",G122+ROUND(G122*H122,2))</f>
        <v/>
      </c>
      <c r="K122" s="61" t="n"/>
      <c r="L122" s="64">
        <f>IF(A122="","",DATE(YEAR(A122),MONTH(A122),1))</f>
        <v/>
      </c>
      <c r="M122" s="61" t="n"/>
      <c r="N122" s="65" t="n"/>
      <c r="O122" s="62">
        <f>IF(B122="Revenue",G122,0)</f>
        <v/>
      </c>
      <c r="P122" s="62">
        <f>IF(B122="Expense",G122,0)</f>
        <v/>
      </c>
      <c r="Q122" s="61" t="n"/>
    </row>
    <row r="123">
      <c r="A123" s="60" t="n"/>
      <c r="B123" s="61" t="n"/>
      <c r="C123" s="61" t="n"/>
      <c r="D123" s="61" t="n"/>
      <c r="E123" s="61" t="n"/>
      <c r="F123" s="61" t="n"/>
      <c r="G123" s="62" t="n"/>
      <c r="H123" s="63">
        <f>IF(A123="","",Settings!$B$4)</f>
        <v/>
      </c>
      <c r="I123" s="62">
        <f>IF(G123="","",IF(OR(B123="Revenue",K123="Yes"),ROUND(G123*H123,2),0))</f>
        <v/>
      </c>
      <c r="J123" s="62">
        <f>IF(G123="","",G123+ROUND(G123*H123,2))</f>
        <v/>
      </c>
      <c r="K123" s="61" t="n"/>
      <c r="L123" s="64">
        <f>IF(A123="","",DATE(YEAR(A123),MONTH(A123),1))</f>
        <v/>
      </c>
      <c r="M123" s="61" t="n"/>
      <c r="N123" s="65" t="n"/>
      <c r="O123" s="62">
        <f>IF(B123="Revenue",G123,0)</f>
        <v/>
      </c>
      <c r="P123" s="62">
        <f>IF(B123="Expense",G123,0)</f>
        <v/>
      </c>
      <c r="Q123" s="61" t="n"/>
    </row>
    <row r="124">
      <c r="A124" s="60" t="n"/>
      <c r="B124" s="61" t="n"/>
      <c r="C124" s="61" t="n"/>
      <c r="D124" s="61" t="n"/>
      <c r="E124" s="61" t="n"/>
      <c r="F124" s="61" t="n"/>
      <c r="G124" s="62" t="n"/>
      <c r="H124" s="63">
        <f>IF(A124="","",Settings!$B$4)</f>
        <v/>
      </c>
      <c r="I124" s="62">
        <f>IF(G124="","",IF(OR(B124="Revenue",K124="Yes"),ROUND(G124*H124,2),0))</f>
        <v/>
      </c>
      <c r="J124" s="62">
        <f>IF(G124="","",G124+ROUND(G124*H124,2))</f>
        <v/>
      </c>
      <c r="K124" s="61" t="n"/>
      <c r="L124" s="64">
        <f>IF(A124="","",DATE(YEAR(A124),MONTH(A124),1))</f>
        <v/>
      </c>
      <c r="M124" s="61" t="n"/>
      <c r="N124" s="65" t="n"/>
      <c r="O124" s="62">
        <f>IF(B124="Revenue",G124,0)</f>
        <v/>
      </c>
      <c r="P124" s="62">
        <f>IF(B124="Expense",G124,0)</f>
        <v/>
      </c>
      <c r="Q124" s="61" t="n"/>
    </row>
    <row r="125">
      <c r="A125" s="60" t="n"/>
      <c r="B125" s="61" t="n"/>
      <c r="C125" s="61" t="n"/>
      <c r="D125" s="61" t="n"/>
      <c r="E125" s="61" t="n"/>
      <c r="F125" s="61" t="n"/>
      <c r="G125" s="62" t="n"/>
      <c r="H125" s="63">
        <f>IF(A125="","",Settings!$B$4)</f>
        <v/>
      </c>
      <c r="I125" s="62">
        <f>IF(G125="","",IF(OR(B125="Revenue",K125="Yes"),ROUND(G125*H125,2),0))</f>
        <v/>
      </c>
      <c r="J125" s="62">
        <f>IF(G125="","",G125+ROUND(G125*H125,2))</f>
        <v/>
      </c>
      <c r="K125" s="61" t="n"/>
      <c r="L125" s="64">
        <f>IF(A125="","",DATE(YEAR(A125),MONTH(A125),1))</f>
        <v/>
      </c>
      <c r="M125" s="61" t="n"/>
      <c r="N125" s="65" t="n"/>
      <c r="O125" s="62">
        <f>IF(B125="Revenue",G125,0)</f>
        <v/>
      </c>
      <c r="P125" s="62">
        <f>IF(B125="Expense",G125,0)</f>
        <v/>
      </c>
      <c r="Q125" s="61" t="n"/>
    </row>
    <row r="126">
      <c r="A126" s="60" t="n"/>
      <c r="B126" s="61" t="n"/>
      <c r="C126" s="61" t="n"/>
      <c r="D126" s="61" t="n"/>
      <c r="E126" s="61" t="n"/>
      <c r="F126" s="61" t="n"/>
      <c r="G126" s="62" t="n"/>
      <c r="H126" s="63">
        <f>IF(A126="","",Settings!$B$4)</f>
        <v/>
      </c>
      <c r="I126" s="62">
        <f>IF(G126="","",IF(OR(B126="Revenue",K126="Yes"),ROUND(G126*H126,2),0))</f>
        <v/>
      </c>
      <c r="J126" s="62">
        <f>IF(G126="","",G126+ROUND(G126*H126,2))</f>
        <v/>
      </c>
      <c r="K126" s="61" t="n"/>
      <c r="L126" s="64">
        <f>IF(A126="","",DATE(YEAR(A126),MONTH(A126),1))</f>
        <v/>
      </c>
      <c r="M126" s="61" t="n"/>
      <c r="N126" s="65" t="n"/>
      <c r="O126" s="62">
        <f>IF(B126="Revenue",G126,0)</f>
        <v/>
      </c>
      <c r="P126" s="62">
        <f>IF(B126="Expense",G126,0)</f>
        <v/>
      </c>
      <c r="Q126" s="61" t="n"/>
    </row>
    <row r="127">
      <c r="A127" s="60" t="n"/>
      <c r="B127" s="61" t="n"/>
      <c r="C127" s="61" t="n"/>
      <c r="D127" s="61" t="n"/>
      <c r="E127" s="61" t="n"/>
      <c r="F127" s="61" t="n"/>
      <c r="G127" s="62" t="n"/>
      <c r="H127" s="63">
        <f>IF(A127="","",Settings!$B$4)</f>
        <v/>
      </c>
      <c r="I127" s="62">
        <f>IF(G127="","",IF(OR(B127="Revenue",K127="Yes"),ROUND(G127*H127,2),0))</f>
        <v/>
      </c>
      <c r="J127" s="62">
        <f>IF(G127="","",G127+ROUND(G127*H127,2))</f>
        <v/>
      </c>
      <c r="K127" s="61" t="n"/>
      <c r="L127" s="64">
        <f>IF(A127="","",DATE(YEAR(A127),MONTH(A127),1))</f>
        <v/>
      </c>
      <c r="M127" s="61" t="n"/>
      <c r="N127" s="65" t="n"/>
      <c r="O127" s="62">
        <f>IF(B127="Revenue",G127,0)</f>
        <v/>
      </c>
      <c r="P127" s="62">
        <f>IF(B127="Expense",G127,0)</f>
        <v/>
      </c>
      <c r="Q127" s="61" t="n"/>
    </row>
    <row r="128">
      <c r="A128" s="60" t="n"/>
      <c r="B128" s="61" t="n"/>
      <c r="C128" s="61" t="n"/>
      <c r="D128" s="61" t="n"/>
      <c r="E128" s="61" t="n"/>
      <c r="F128" s="61" t="n"/>
      <c r="G128" s="62" t="n"/>
      <c r="H128" s="63">
        <f>IF(A128="","",Settings!$B$4)</f>
        <v/>
      </c>
      <c r="I128" s="62">
        <f>IF(G128="","",IF(OR(B128="Revenue",K128="Yes"),ROUND(G128*H128,2),0))</f>
        <v/>
      </c>
      <c r="J128" s="62">
        <f>IF(G128="","",G128+ROUND(G128*H128,2))</f>
        <v/>
      </c>
      <c r="K128" s="61" t="n"/>
      <c r="L128" s="64">
        <f>IF(A128="","",DATE(YEAR(A128),MONTH(A128),1))</f>
        <v/>
      </c>
      <c r="M128" s="61" t="n"/>
      <c r="N128" s="65" t="n"/>
      <c r="O128" s="62">
        <f>IF(B128="Revenue",G128,0)</f>
        <v/>
      </c>
      <c r="P128" s="62">
        <f>IF(B128="Expense",G128,0)</f>
        <v/>
      </c>
      <c r="Q128" s="61" t="n"/>
    </row>
    <row r="129">
      <c r="A129" s="60" t="n"/>
      <c r="B129" s="61" t="n"/>
      <c r="C129" s="61" t="n"/>
      <c r="D129" s="61" t="n"/>
      <c r="E129" s="61" t="n"/>
      <c r="F129" s="61" t="n"/>
      <c r="G129" s="62" t="n"/>
      <c r="H129" s="63">
        <f>IF(A129="","",Settings!$B$4)</f>
        <v/>
      </c>
      <c r="I129" s="62">
        <f>IF(G129="","",IF(OR(B129="Revenue",K129="Yes"),ROUND(G129*H129,2),0))</f>
        <v/>
      </c>
      <c r="J129" s="62">
        <f>IF(G129="","",G129+ROUND(G129*H129,2))</f>
        <v/>
      </c>
      <c r="K129" s="61" t="n"/>
      <c r="L129" s="64">
        <f>IF(A129="","",DATE(YEAR(A129),MONTH(A129),1))</f>
        <v/>
      </c>
      <c r="M129" s="61" t="n"/>
      <c r="N129" s="65" t="n"/>
      <c r="O129" s="62">
        <f>IF(B129="Revenue",G129,0)</f>
        <v/>
      </c>
      <c r="P129" s="62">
        <f>IF(B129="Expense",G129,0)</f>
        <v/>
      </c>
      <c r="Q129" s="61" t="n"/>
    </row>
    <row r="130">
      <c r="A130" s="60" t="n"/>
      <c r="B130" s="61" t="n"/>
      <c r="C130" s="61" t="n"/>
      <c r="D130" s="61" t="n"/>
      <c r="E130" s="61" t="n"/>
      <c r="F130" s="61" t="n"/>
      <c r="G130" s="62" t="n"/>
      <c r="H130" s="63">
        <f>IF(A130="","",Settings!$B$4)</f>
        <v/>
      </c>
      <c r="I130" s="62">
        <f>IF(G130="","",IF(OR(B130="Revenue",K130="Yes"),ROUND(G130*H130,2),0))</f>
        <v/>
      </c>
      <c r="J130" s="62">
        <f>IF(G130="","",G130+ROUND(G130*H130,2))</f>
        <v/>
      </c>
      <c r="K130" s="61" t="n"/>
      <c r="L130" s="64">
        <f>IF(A130="","",DATE(YEAR(A130),MONTH(A130),1))</f>
        <v/>
      </c>
      <c r="M130" s="61" t="n"/>
      <c r="N130" s="65" t="n"/>
      <c r="O130" s="62">
        <f>IF(B130="Revenue",G130,0)</f>
        <v/>
      </c>
      <c r="P130" s="62">
        <f>IF(B130="Expense",G130,0)</f>
        <v/>
      </c>
      <c r="Q130" s="61" t="n"/>
    </row>
    <row r="131">
      <c r="A131" s="60" t="n"/>
      <c r="B131" s="61" t="n"/>
      <c r="C131" s="61" t="n"/>
      <c r="D131" s="61" t="n"/>
      <c r="E131" s="61" t="n"/>
      <c r="F131" s="61" t="n"/>
      <c r="G131" s="62" t="n"/>
      <c r="H131" s="63">
        <f>IF(A131="","",Settings!$B$4)</f>
        <v/>
      </c>
      <c r="I131" s="62">
        <f>IF(G131="","",IF(OR(B131="Revenue",K131="Yes"),ROUND(G131*H131,2),0))</f>
        <v/>
      </c>
      <c r="J131" s="62">
        <f>IF(G131="","",G131+ROUND(G131*H131,2))</f>
        <v/>
      </c>
      <c r="K131" s="61" t="n"/>
      <c r="L131" s="64">
        <f>IF(A131="","",DATE(YEAR(A131),MONTH(A131),1))</f>
        <v/>
      </c>
      <c r="M131" s="61" t="n"/>
      <c r="N131" s="65" t="n"/>
      <c r="O131" s="62">
        <f>IF(B131="Revenue",G131,0)</f>
        <v/>
      </c>
      <c r="P131" s="62">
        <f>IF(B131="Expense",G131,0)</f>
        <v/>
      </c>
      <c r="Q131" s="61" t="n"/>
    </row>
    <row r="132">
      <c r="A132" s="60" t="n"/>
      <c r="B132" s="61" t="n"/>
      <c r="C132" s="61" t="n"/>
      <c r="D132" s="61" t="n"/>
      <c r="E132" s="61" t="n"/>
      <c r="F132" s="61" t="n"/>
      <c r="G132" s="62" t="n"/>
      <c r="H132" s="63">
        <f>IF(A132="","",Settings!$B$4)</f>
        <v/>
      </c>
      <c r="I132" s="62">
        <f>IF(G132="","",IF(OR(B132="Revenue",K132="Yes"),ROUND(G132*H132,2),0))</f>
        <v/>
      </c>
      <c r="J132" s="62">
        <f>IF(G132="","",G132+ROUND(G132*H132,2))</f>
        <v/>
      </c>
      <c r="K132" s="61" t="n"/>
      <c r="L132" s="64">
        <f>IF(A132="","",DATE(YEAR(A132),MONTH(A132),1))</f>
        <v/>
      </c>
      <c r="M132" s="61" t="n"/>
      <c r="N132" s="65" t="n"/>
      <c r="O132" s="62">
        <f>IF(B132="Revenue",G132,0)</f>
        <v/>
      </c>
      <c r="P132" s="62">
        <f>IF(B132="Expense",G132,0)</f>
        <v/>
      </c>
      <c r="Q132" s="61" t="n"/>
    </row>
    <row r="133">
      <c r="A133" s="60" t="n"/>
      <c r="B133" s="61" t="n"/>
      <c r="C133" s="61" t="n"/>
      <c r="D133" s="61" t="n"/>
      <c r="E133" s="61" t="n"/>
      <c r="F133" s="61" t="n"/>
      <c r="G133" s="62" t="n"/>
      <c r="H133" s="63">
        <f>IF(A133="","",Settings!$B$4)</f>
        <v/>
      </c>
      <c r="I133" s="62">
        <f>IF(G133="","",IF(OR(B133="Revenue",K133="Yes"),ROUND(G133*H133,2),0))</f>
        <v/>
      </c>
      <c r="J133" s="62">
        <f>IF(G133="","",G133+ROUND(G133*H133,2))</f>
        <v/>
      </c>
      <c r="K133" s="61" t="n"/>
      <c r="L133" s="64">
        <f>IF(A133="","",DATE(YEAR(A133),MONTH(A133),1))</f>
        <v/>
      </c>
      <c r="M133" s="61" t="n"/>
      <c r="N133" s="65" t="n"/>
      <c r="O133" s="62">
        <f>IF(B133="Revenue",G133,0)</f>
        <v/>
      </c>
      <c r="P133" s="62">
        <f>IF(B133="Expense",G133,0)</f>
        <v/>
      </c>
      <c r="Q133" s="61" t="n"/>
    </row>
    <row r="134"/>
    <row r="135">
      <c r="A135" s="58" t="inlineStr">
        <is>
          <t>May 2026 / เดือน May</t>
        </is>
      </c>
    </row>
    <row r="136">
      <c r="A136" s="59" t="inlineStr">
        <is>
          <t>วันที่</t>
        </is>
      </c>
      <c r="B136" s="59" t="inlineStr">
        <is>
          <t>ประเภท</t>
        </is>
      </c>
      <c r="C136" s="59" t="inlineStr">
        <is>
          <t>เลขที่เอกสาร</t>
        </is>
      </c>
      <c r="D136" s="59" t="inlineStr">
        <is>
          <t>ลูกค้า/ผู้ขาย</t>
        </is>
      </c>
      <c r="E136" s="59" t="inlineStr">
        <is>
          <t>รายละเอียด</t>
        </is>
      </c>
      <c r="F136" s="59" t="inlineStr">
        <is>
          <t>หมวด</t>
        </is>
      </c>
      <c r="G136" s="59" t="inlineStr">
        <is>
          <t>ยอดก่อน VAT</t>
        </is>
      </c>
      <c r="H136" s="59" t="inlineStr">
        <is>
          <t>อัตรา VAT</t>
        </is>
      </c>
      <c r="I136" s="59" t="inlineStr">
        <is>
          <t>VAT</t>
        </is>
      </c>
      <c r="J136" s="59" t="inlineStr">
        <is>
          <t>ยอดรวม</t>
        </is>
      </c>
      <c r="K136" s="59" t="inlineStr">
        <is>
          <t>รับเงิน/ขอคืน VAT?</t>
        </is>
      </c>
      <c r="L136" s="59" t="inlineStr">
        <is>
          <t>เดือน</t>
        </is>
      </c>
      <c r="M136" s="59" t="inlineStr">
        <is>
          <t>ไฟล์เอกสาร</t>
        </is>
      </c>
      <c r="N136" s="59" t="inlineStr">
        <is>
          <t>OCR Confidence</t>
        </is>
      </c>
      <c r="O136" s="59" t="inlineStr">
        <is>
          <t>รายรับก่อน VAT</t>
        </is>
      </c>
      <c r="P136" s="59" t="inlineStr">
        <is>
          <t>ค่าใช้จ่ายก่อน VAT</t>
        </is>
      </c>
      <c r="Q136" s="59" t="inlineStr">
        <is>
          <t>หมายเหตุ</t>
        </is>
      </c>
      <c r="R136" s="74" t="inlineStr">
        <is>
          <t>ประเภทเอกสาร</t>
        </is>
      </c>
    </row>
    <row r="137">
      <c r="A137" s="60" t="n"/>
      <c r="B137" s="61" t="n"/>
      <c r="C137" s="61" t="n"/>
      <c r="D137" s="61" t="n"/>
      <c r="E137" s="61" t="n"/>
      <c r="F137" s="61" t="n"/>
      <c r="G137" s="62" t="n"/>
      <c r="H137" s="63">
        <f>IF(A137="","",Settings!$B$4)</f>
        <v/>
      </c>
      <c r="I137" s="62">
        <f>IF(G137="","",IF(OR(B137="Revenue",K137="Yes"),ROUND(G137*H137,2),0))</f>
        <v/>
      </c>
      <c r="J137" s="62">
        <f>IF(G137="","",G137+ROUND(G137*H137,2))</f>
        <v/>
      </c>
      <c r="K137" s="61" t="n"/>
      <c r="L137" s="64">
        <f>IF(A137="","",DATE(YEAR(A137),MONTH(A137),1))</f>
        <v/>
      </c>
      <c r="M137" s="61" t="n"/>
      <c r="N137" s="65" t="n"/>
      <c r="O137" s="62">
        <f>IF(B137="Revenue",G137,0)</f>
        <v/>
      </c>
      <c r="P137" s="62">
        <f>IF(B137="Expense",G137,0)</f>
        <v/>
      </c>
      <c r="Q137" s="61" t="n"/>
    </row>
    <row r="138">
      <c r="A138" s="60" t="n"/>
      <c r="B138" s="61" t="n"/>
      <c r="C138" s="61" t="n"/>
      <c r="D138" s="61" t="n"/>
      <c r="E138" s="61" t="n"/>
      <c r="F138" s="61" t="n"/>
      <c r="G138" s="62" t="n"/>
      <c r="H138" s="63">
        <f>IF(A138="","",Settings!$B$4)</f>
        <v/>
      </c>
      <c r="I138" s="62">
        <f>IF(G138="","",IF(OR(B138="Revenue",K138="Yes"),ROUND(G138*H138,2),0))</f>
        <v/>
      </c>
      <c r="J138" s="62">
        <f>IF(G138="","",G138+ROUND(G138*H138,2))</f>
        <v/>
      </c>
      <c r="K138" s="61" t="n"/>
      <c r="L138" s="64">
        <f>IF(A138="","",DATE(YEAR(A138),MONTH(A138),1))</f>
        <v/>
      </c>
      <c r="M138" s="61" t="n"/>
      <c r="N138" s="65" t="n"/>
      <c r="O138" s="62">
        <f>IF(B138="Revenue",G138,0)</f>
        <v/>
      </c>
      <c r="P138" s="62">
        <f>IF(B138="Expense",G138,0)</f>
        <v/>
      </c>
      <c r="Q138" s="61" t="n"/>
    </row>
    <row r="139">
      <c r="A139" s="60" t="n"/>
      <c r="B139" s="61" t="n"/>
      <c r="C139" s="61" t="n"/>
      <c r="D139" s="61" t="n"/>
      <c r="E139" s="61" t="n"/>
      <c r="F139" s="61" t="n"/>
      <c r="G139" s="62" t="n"/>
      <c r="H139" s="63">
        <f>IF(A139="","",Settings!$B$4)</f>
        <v/>
      </c>
      <c r="I139" s="62">
        <f>IF(G139="","",IF(OR(B139="Revenue",K139="Yes"),ROUND(G139*H139,2),0))</f>
        <v/>
      </c>
      <c r="J139" s="62">
        <f>IF(G139="","",G139+ROUND(G139*H139,2))</f>
        <v/>
      </c>
      <c r="K139" s="61" t="n"/>
      <c r="L139" s="64">
        <f>IF(A139="","",DATE(YEAR(A139),MONTH(A139),1))</f>
        <v/>
      </c>
      <c r="M139" s="61" t="n"/>
      <c r="N139" s="65" t="n"/>
      <c r="O139" s="62">
        <f>IF(B139="Revenue",G139,0)</f>
        <v/>
      </c>
      <c r="P139" s="62">
        <f>IF(B139="Expense",G139,0)</f>
        <v/>
      </c>
      <c r="Q139" s="61" t="n"/>
    </row>
    <row r="140">
      <c r="A140" s="60" t="n"/>
      <c r="B140" s="61" t="n"/>
      <c r="C140" s="61" t="n"/>
      <c r="D140" s="61" t="n"/>
      <c r="E140" s="61" t="n"/>
      <c r="F140" s="61" t="n"/>
      <c r="G140" s="62" t="n"/>
      <c r="H140" s="63">
        <f>IF(A140="","",Settings!$B$4)</f>
        <v/>
      </c>
      <c r="I140" s="62">
        <f>IF(G140="","",IF(OR(B140="Revenue",K140="Yes"),ROUND(G140*H140,2),0))</f>
        <v/>
      </c>
      <c r="J140" s="62">
        <f>IF(G140="","",G140+ROUND(G140*H140,2))</f>
        <v/>
      </c>
      <c r="K140" s="61" t="n"/>
      <c r="L140" s="64">
        <f>IF(A140="","",DATE(YEAR(A140),MONTH(A140),1))</f>
        <v/>
      </c>
      <c r="M140" s="61" t="n"/>
      <c r="N140" s="65" t="n"/>
      <c r="O140" s="62">
        <f>IF(B140="Revenue",G140,0)</f>
        <v/>
      </c>
      <c r="P140" s="62">
        <f>IF(B140="Expense",G140,0)</f>
        <v/>
      </c>
      <c r="Q140" s="61" t="n"/>
    </row>
    <row r="141">
      <c r="A141" s="60" t="n"/>
      <c r="B141" s="61" t="n"/>
      <c r="C141" s="61" t="n"/>
      <c r="D141" s="61" t="n"/>
      <c r="E141" s="61" t="n"/>
      <c r="F141" s="61" t="n"/>
      <c r="G141" s="62" t="n"/>
      <c r="H141" s="63">
        <f>IF(A141="","",Settings!$B$4)</f>
        <v/>
      </c>
      <c r="I141" s="62">
        <f>IF(G141="","",IF(OR(B141="Revenue",K141="Yes"),ROUND(G141*H141,2),0))</f>
        <v/>
      </c>
      <c r="J141" s="62">
        <f>IF(G141="","",G141+ROUND(G141*H141,2))</f>
        <v/>
      </c>
      <c r="K141" s="61" t="n"/>
      <c r="L141" s="64">
        <f>IF(A141="","",DATE(YEAR(A141),MONTH(A141),1))</f>
        <v/>
      </c>
      <c r="M141" s="61" t="n"/>
      <c r="N141" s="65" t="n"/>
      <c r="O141" s="62">
        <f>IF(B141="Revenue",G141,0)</f>
        <v/>
      </c>
      <c r="P141" s="62">
        <f>IF(B141="Expense",G141,0)</f>
        <v/>
      </c>
      <c r="Q141" s="61" t="n"/>
    </row>
    <row r="142">
      <c r="A142" s="60" t="n"/>
      <c r="B142" s="61" t="n"/>
      <c r="C142" s="61" t="n"/>
      <c r="D142" s="61" t="n"/>
      <c r="E142" s="61" t="n"/>
      <c r="F142" s="61" t="n"/>
      <c r="G142" s="62" t="n"/>
      <c r="H142" s="63">
        <f>IF(A142="","",Settings!$B$4)</f>
        <v/>
      </c>
      <c r="I142" s="62">
        <f>IF(G142="","",IF(OR(B142="Revenue",K142="Yes"),ROUND(G142*H142,2),0))</f>
        <v/>
      </c>
      <c r="J142" s="62">
        <f>IF(G142="","",G142+ROUND(G142*H142,2))</f>
        <v/>
      </c>
      <c r="K142" s="61" t="n"/>
      <c r="L142" s="64">
        <f>IF(A142="","",DATE(YEAR(A142),MONTH(A142),1))</f>
        <v/>
      </c>
      <c r="M142" s="61" t="n"/>
      <c r="N142" s="65" t="n"/>
      <c r="O142" s="62">
        <f>IF(B142="Revenue",G142,0)</f>
        <v/>
      </c>
      <c r="P142" s="62">
        <f>IF(B142="Expense",G142,0)</f>
        <v/>
      </c>
      <c r="Q142" s="61" t="n"/>
    </row>
    <row r="143">
      <c r="A143" s="60" t="n"/>
      <c r="B143" s="61" t="n"/>
      <c r="C143" s="61" t="n"/>
      <c r="D143" s="61" t="n"/>
      <c r="E143" s="61" t="n"/>
      <c r="F143" s="61" t="n"/>
      <c r="G143" s="62" t="n"/>
      <c r="H143" s="63">
        <f>IF(A143="","",Settings!$B$4)</f>
        <v/>
      </c>
      <c r="I143" s="62">
        <f>IF(G143="","",IF(OR(B143="Revenue",K143="Yes"),ROUND(G143*H143,2),0))</f>
        <v/>
      </c>
      <c r="J143" s="62">
        <f>IF(G143="","",G143+ROUND(G143*H143,2))</f>
        <v/>
      </c>
      <c r="K143" s="61" t="n"/>
      <c r="L143" s="64">
        <f>IF(A143="","",DATE(YEAR(A143),MONTH(A143),1))</f>
        <v/>
      </c>
      <c r="M143" s="61" t="n"/>
      <c r="N143" s="65" t="n"/>
      <c r="O143" s="62">
        <f>IF(B143="Revenue",G143,0)</f>
        <v/>
      </c>
      <c r="P143" s="62">
        <f>IF(B143="Expense",G143,0)</f>
        <v/>
      </c>
      <c r="Q143" s="61" t="n"/>
    </row>
    <row r="144">
      <c r="A144" s="60" t="n"/>
      <c r="B144" s="61" t="n"/>
      <c r="C144" s="61" t="n"/>
      <c r="D144" s="61" t="n"/>
      <c r="E144" s="61" t="n"/>
      <c r="F144" s="61" t="n"/>
      <c r="G144" s="62" t="n"/>
      <c r="H144" s="63">
        <f>IF(A144="","",Settings!$B$4)</f>
        <v/>
      </c>
      <c r="I144" s="62">
        <f>IF(G144="","",IF(OR(B144="Revenue",K144="Yes"),ROUND(G144*H144,2),0))</f>
        <v/>
      </c>
      <c r="J144" s="62">
        <f>IF(G144="","",G144+ROUND(G144*H144,2))</f>
        <v/>
      </c>
      <c r="K144" s="61" t="n"/>
      <c r="L144" s="64">
        <f>IF(A144="","",DATE(YEAR(A144),MONTH(A144),1))</f>
        <v/>
      </c>
      <c r="M144" s="61" t="n"/>
      <c r="N144" s="65" t="n"/>
      <c r="O144" s="62">
        <f>IF(B144="Revenue",G144,0)</f>
        <v/>
      </c>
      <c r="P144" s="62">
        <f>IF(B144="Expense",G144,0)</f>
        <v/>
      </c>
      <c r="Q144" s="61" t="n"/>
    </row>
    <row r="145">
      <c r="A145" s="60" t="n"/>
      <c r="B145" s="61" t="n"/>
      <c r="C145" s="61" t="n"/>
      <c r="D145" s="61" t="n"/>
      <c r="E145" s="61" t="n"/>
      <c r="F145" s="61" t="n"/>
      <c r="G145" s="62" t="n"/>
      <c r="H145" s="63">
        <f>IF(A145="","",Settings!$B$4)</f>
        <v/>
      </c>
      <c r="I145" s="62">
        <f>IF(G145="","",IF(OR(B145="Revenue",K145="Yes"),ROUND(G145*H145,2),0))</f>
        <v/>
      </c>
      <c r="J145" s="62">
        <f>IF(G145="","",G145+ROUND(G145*H145,2))</f>
        <v/>
      </c>
      <c r="K145" s="61" t="n"/>
      <c r="L145" s="64">
        <f>IF(A145="","",DATE(YEAR(A145),MONTH(A145),1))</f>
        <v/>
      </c>
      <c r="M145" s="61" t="n"/>
      <c r="N145" s="65" t="n"/>
      <c r="O145" s="62">
        <f>IF(B145="Revenue",G145,0)</f>
        <v/>
      </c>
      <c r="P145" s="62">
        <f>IF(B145="Expense",G145,0)</f>
        <v/>
      </c>
      <c r="Q145" s="61" t="n"/>
    </row>
    <row r="146">
      <c r="A146" s="60" t="n"/>
      <c r="B146" s="61" t="n"/>
      <c r="C146" s="61" t="n"/>
      <c r="D146" s="61" t="n"/>
      <c r="E146" s="61" t="n"/>
      <c r="F146" s="61" t="n"/>
      <c r="G146" s="62" t="n"/>
      <c r="H146" s="63">
        <f>IF(A146="","",Settings!$B$4)</f>
        <v/>
      </c>
      <c r="I146" s="62">
        <f>IF(G146="","",IF(OR(B146="Revenue",K146="Yes"),ROUND(G146*H146,2),0))</f>
        <v/>
      </c>
      <c r="J146" s="62">
        <f>IF(G146="","",G146+ROUND(G146*H146,2))</f>
        <v/>
      </c>
      <c r="K146" s="61" t="n"/>
      <c r="L146" s="64">
        <f>IF(A146="","",DATE(YEAR(A146),MONTH(A146),1))</f>
        <v/>
      </c>
      <c r="M146" s="61" t="n"/>
      <c r="N146" s="65" t="n"/>
      <c r="O146" s="62">
        <f>IF(B146="Revenue",G146,0)</f>
        <v/>
      </c>
      <c r="P146" s="62">
        <f>IF(B146="Expense",G146,0)</f>
        <v/>
      </c>
      <c r="Q146" s="61" t="n"/>
    </row>
    <row r="147">
      <c r="A147" s="60" t="n"/>
      <c r="B147" s="61" t="n"/>
      <c r="C147" s="61" t="n"/>
      <c r="D147" s="61" t="n"/>
      <c r="E147" s="61" t="n"/>
      <c r="F147" s="61" t="n"/>
      <c r="G147" s="62" t="n"/>
      <c r="H147" s="63">
        <f>IF(A147="","",Settings!$B$4)</f>
        <v/>
      </c>
      <c r="I147" s="62">
        <f>IF(G147="","",IF(OR(B147="Revenue",K147="Yes"),ROUND(G147*H147,2),0))</f>
        <v/>
      </c>
      <c r="J147" s="62">
        <f>IF(G147="","",G147+ROUND(G147*H147,2))</f>
        <v/>
      </c>
      <c r="K147" s="61" t="n"/>
      <c r="L147" s="64">
        <f>IF(A147="","",DATE(YEAR(A147),MONTH(A147),1))</f>
        <v/>
      </c>
      <c r="M147" s="61" t="n"/>
      <c r="N147" s="65" t="n"/>
      <c r="O147" s="62">
        <f>IF(B147="Revenue",G147,0)</f>
        <v/>
      </c>
      <c r="P147" s="62">
        <f>IF(B147="Expense",G147,0)</f>
        <v/>
      </c>
      <c r="Q147" s="61" t="n"/>
    </row>
    <row r="148">
      <c r="A148" s="60" t="n"/>
      <c r="B148" s="61" t="n"/>
      <c r="C148" s="61" t="n"/>
      <c r="D148" s="61" t="n"/>
      <c r="E148" s="61" t="n"/>
      <c r="F148" s="61" t="n"/>
      <c r="G148" s="62" t="n"/>
      <c r="H148" s="63">
        <f>IF(A148="","",Settings!$B$4)</f>
        <v/>
      </c>
      <c r="I148" s="62">
        <f>IF(G148="","",IF(OR(B148="Revenue",K148="Yes"),ROUND(G148*H148,2),0))</f>
        <v/>
      </c>
      <c r="J148" s="62">
        <f>IF(G148="","",G148+ROUND(G148*H148,2))</f>
        <v/>
      </c>
      <c r="K148" s="61" t="n"/>
      <c r="L148" s="64">
        <f>IF(A148="","",DATE(YEAR(A148),MONTH(A148),1))</f>
        <v/>
      </c>
      <c r="M148" s="61" t="n"/>
      <c r="N148" s="65" t="n"/>
      <c r="O148" s="62">
        <f>IF(B148="Revenue",G148,0)</f>
        <v/>
      </c>
      <c r="P148" s="62">
        <f>IF(B148="Expense",G148,0)</f>
        <v/>
      </c>
      <c r="Q148" s="61" t="n"/>
    </row>
    <row r="149">
      <c r="A149" s="60" t="n"/>
      <c r="B149" s="61" t="n"/>
      <c r="C149" s="61" t="n"/>
      <c r="D149" s="61" t="n"/>
      <c r="E149" s="61" t="n"/>
      <c r="F149" s="61" t="n"/>
      <c r="G149" s="62" t="n"/>
      <c r="H149" s="63">
        <f>IF(A149="","",Settings!$B$4)</f>
        <v/>
      </c>
      <c r="I149" s="62">
        <f>IF(G149="","",IF(OR(B149="Revenue",K149="Yes"),ROUND(G149*H149,2),0))</f>
        <v/>
      </c>
      <c r="J149" s="62">
        <f>IF(G149="","",G149+ROUND(G149*H149,2))</f>
        <v/>
      </c>
      <c r="K149" s="61" t="n"/>
      <c r="L149" s="64">
        <f>IF(A149="","",DATE(YEAR(A149),MONTH(A149),1))</f>
        <v/>
      </c>
      <c r="M149" s="61" t="n"/>
      <c r="N149" s="65" t="n"/>
      <c r="O149" s="62">
        <f>IF(B149="Revenue",G149,0)</f>
        <v/>
      </c>
      <c r="P149" s="62">
        <f>IF(B149="Expense",G149,0)</f>
        <v/>
      </c>
      <c r="Q149" s="61" t="n"/>
    </row>
    <row r="150">
      <c r="A150" s="60" t="n"/>
      <c r="B150" s="61" t="n"/>
      <c r="C150" s="61" t="n"/>
      <c r="D150" s="61" t="n"/>
      <c r="E150" s="61" t="n"/>
      <c r="F150" s="61" t="n"/>
      <c r="G150" s="62" t="n"/>
      <c r="H150" s="63">
        <f>IF(A150="","",Settings!$B$4)</f>
        <v/>
      </c>
      <c r="I150" s="62">
        <f>IF(G150="","",IF(OR(B150="Revenue",K150="Yes"),ROUND(G150*H150,2),0))</f>
        <v/>
      </c>
      <c r="J150" s="62">
        <f>IF(G150="","",G150+ROUND(G150*H150,2))</f>
        <v/>
      </c>
      <c r="K150" s="61" t="n"/>
      <c r="L150" s="64">
        <f>IF(A150="","",DATE(YEAR(A150),MONTH(A150),1))</f>
        <v/>
      </c>
      <c r="M150" s="61" t="n"/>
      <c r="N150" s="65" t="n"/>
      <c r="O150" s="62">
        <f>IF(B150="Revenue",G150,0)</f>
        <v/>
      </c>
      <c r="P150" s="62">
        <f>IF(B150="Expense",G150,0)</f>
        <v/>
      </c>
      <c r="Q150" s="61" t="n"/>
    </row>
    <row r="151">
      <c r="A151" s="60" t="n"/>
      <c r="B151" s="61" t="n"/>
      <c r="C151" s="61" t="n"/>
      <c r="D151" s="61" t="n"/>
      <c r="E151" s="61" t="n"/>
      <c r="F151" s="61" t="n"/>
      <c r="G151" s="62" t="n"/>
      <c r="H151" s="63">
        <f>IF(A151="","",Settings!$B$4)</f>
        <v/>
      </c>
      <c r="I151" s="62">
        <f>IF(G151="","",IF(OR(B151="Revenue",K151="Yes"),ROUND(G151*H151,2),0))</f>
        <v/>
      </c>
      <c r="J151" s="62">
        <f>IF(G151="","",G151+ROUND(G151*H151,2))</f>
        <v/>
      </c>
      <c r="K151" s="61" t="n"/>
      <c r="L151" s="64">
        <f>IF(A151="","",DATE(YEAR(A151),MONTH(A151),1))</f>
        <v/>
      </c>
      <c r="M151" s="61" t="n"/>
      <c r="N151" s="65" t="n"/>
      <c r="O151" s="62">
        <f>IF(B151="Revenue",G151,0)</f>
        <v/>
      </c>
      <c r="P151" s="62">
        <f>IF(B151="Expense",G151,0)</f>
        <v/>
      </c>
      <c r="Q151" s="61" t="n"/>
    </row>
    <row r="152">
      <c r="A152" s="60" t="n"/>
      <c r="B152" s="61" t="n"/>
      <c r="C152" s="61" t="n"/>
      <c r="D152" s="61" t="n"/>
      <c r="E152" s="61" t="n"/>
      <c r="F152" s="61" t="n"/>
      <c r="G152" s="62" t="n"/>
      <c r="H152" s="63">
        <f>IF(A152="","",Settings!$B$4)</f>
        <v/>
      </c>
      <c r="I152" s="62">
        <f>IF(G152="","",IF(OR(B152="Revenue",K152="Yes"),ROUND(G152*H152,2),0))</f>
        <v/>
      </c>
      <c r="J152" s="62">
        <f>IF(G152="","",G152+ROUND(G152*H152,2))</f>
        <v/>
      </c>
      <c r="K152" s="61" t="n"/>
      <c r="L152" s="64">
        <f>IF(A152="","",DATE(YEAR(A152),MONTH(A152),1))</f>
        <v/>
      </c>
      <c r="M152" s="61" t="n"/>
      <c r="N152" s="65" t="n"/>
      <c r="O152" s="62">
        <f>IF(B152="Revenue",G152,0)</f>
        <v/>
      </c>
      <c r="P152" s="62">
        <f>IF(B152="Expense",G152,0)</f>
        <v/>
      </c>
      <c r="Q152" s="61" t="n"/>
    </row>
    <row r="153">
      <c r="A153" s="60" t="n"/>
      <c r="B153" s="61" t="n"/>
      <c r="C153" s="61" t="n"/>
      <c r="D153" s="61" t="n"/>
      <c r="E153" s="61" t="n"/>
      <c r="F153" s="61" t="n"/>
      <c r="G153" s="62" t="n"/>
      <c r="H153" s="63">
        <f>IF(A153="","",Settings!$B$4)</f>
        <v/>
      </c>
      <c r="I153" s="62">
        <f>IF(G153="","",IF(OR(B153="Revenue",K153="Yes"),ROUND(G153*H153,2),0))</f>
        <v/>
      </c>
      <c r="J153" s="62">
        <f>IF(G153="","",G153+ROUND(G153*H153,2))</f>
        <v/>
      </c>
      <c r="K153" s="61" t="n"/>
      <c r="L153" s="64">
        <f>IF(A153="","",DATE(YEAR(A153),MONTH(A153),1))</f>
        <v/>
      </c>
      <c r="M153" s="61" t="n"/>
      <c r="N153" s="65" t="n"/>
      <c r="O153" s="62">
        <f>IF(B153="Revenue",G153,0)</f>
        <v/>
      </c>
      <c r="P153" s="62">
        <f>IF(B153="Expense",G153,0)</f>
        <v/>
      </c>
      <c r="Q153" s="61" t="n"/>
    </row>
    <row r="154">
      <c r="A154" s="60" t="n"/>
      <c r="B154" s="61" t="n"/>
      <c r="C154" s="61" t="n"/>
      <c r="D154" s="61" t="n"/>
      <c r="E154" s="61" t="n"/>
      <c r="F154" s="61" t="n"/>
      <c r="G154" s="62" t="n"/>
      <c r="H154" s="63">
        <f>IF(A154="","",Settings!$B$4)</f>
        <v/>
      </c>
      <c r="I154" s="62">
        <f>IF(G154="","",IF(OR(B154="Revenue",K154="Yes"),ROUND(G154*H154,2),0))</f>
        <v/>
      </c>
      <c r="J154" s="62">
        <f>IF(G154="","",G154+ROUND(G154*H154,2))</f>
        <v/>
      </c>
      <c r="K154" s="61" t="n"/>
      <c r="L154" s="64">
        <f>IF(A154="","",DATE(YEAR(A154),MONTH(A154),1))</f>
        <v/>
      </c>
      <c r="M154" s="61" t="n"/>
      <c r="N154" s="65" t="n"/>
      <c r="O154" s="62">
        <f>IF(B154="Revenue",G154,0)</f>
        <v/>
      </c>
      <c r="P154" s="62">
        <f>IF(B154="Expense",G154,0)</f>
        <v/>
      </c>
      <c r="Q154" s="61" t="n"/>
    </row>
    <row r="155">
      <c r="A155" s="60" t="n"/>
      <c r="B155" s="61" t="n"/>
      <c r="C155" s="61" t="n"/>
      <c r="D155" s="61" t="n"/>
      <c r="E155" s="61" t="n"/>
      <c r="F155" s="61" t="n"/>
      <c r="G155" s="62" t="n"/>
      <c r="H155" s="63">
        <f>IF(A155="","",Settings!$B$4)</f>
        <v/>
      </c>
      <c r="I155" s="62">
        <f>IF(G155="","",IF(OR(B155="Revenue",K155="Yes"),ROUND(G155*H155,2),0))</f>
        <v/>
      </c>
      <c r="J155" s="62">
        <f>IF(G155="","",G155+ROUND(G155*H155,2))</f>
        <v/>
      </c>
      <c r="K155" s="61" t="n"/>
      <c r="L155" s="64">
        <f>IF(A155="","",DATE(YEAR(A155),MONTH(A155),1))</f>
        <v/>
      </c>
      <c r="M155" s="61" t="n"/>
      <c r="N155" s="65" t="n"/>
      <c r="O155" s="62">
        <f>IF(B155="Revenue",G155,0)</f>
        <v/>
      </c>
      <c r="P155" s="62">
        <f>IF(B155="Expense",G155,0)</f>
        <v/>
      </c>
      <c r="Q155" s="61" t="n"/>
    </row>
    <row r="156">
      <c r="A156" s="60" t="n"/>
      <c r="B156" s="61" t="n"/>
      <c r="C156" s="61" t="n"/>
      <c r="D156" s="61" t="n"/>
      <c r="E156" s="61" t="n"/>
      <c r="F156" s="61" t="n"/>
      <c r="G156" s="62" t="n"/>
      <c r="H156" s="63">
        <f>IF(A156="","",Settings!$B$4)</f>
        <v/>
      </c>
      <c r="I156" s="62">
        <f>IF(G156="","",IF(OR(B156="Revenue",K156="Yes"),ROUND(G156*H156,2),0))</f>
        <v/>
      </c>
      <c r="J156" s="62">
        <f>IF(G156="","",G156+ROUND(G156*H156,2))</f>
        <v/>
      </c>
      <c r="K156" s="61" t="n"/>
      <c r="L156" s="64">
        <f>IF(A156="","",DATE(YEAR(A156),MONTH(A156),1))</f>
        <v/>
      </c>
      <c r="M156" s="61" t="n"/>
      <c r="N156" s="65" t="n"/>
      <c r="O156" s="62">
        <f>IF(B156="Revenue",G156,0)</f>
        <v/>
      </c>
      <c r="P156" s="62">
        <f>IF(B156="Expense",G156,0)</f>
        <v/>
      </c>
      <c r="Q156" s="61" t="n"/>
    </row>
    <row r="157">
      <c r="A157" s="60" t="n"/>
      <c r="B157" s="61" t="n"/>
      <c r="C157" s="61" t="n"/>
      <c r="D157" s="61" t="n"/>
      <c r="E157" s="61" t="n"/>
      <c r="F157" s="61" t="n"/>
      <c r="G157" s="62" t="n"/>
      <c r="H157" s="63">
        <f>IF(A157="","",Settings!$B$4)</f>
        <v/>
      </c>
      <c r="I157" s="62">
        <f>IF(G157="","",IF(OR(B157="Revenue",K157="Yes"),ROUND(G157*H157,2),0))</f>
        <v/>
      </c>
      <c r="J157" s="62">
        <f>IF(G157="","",G157+ROUND(G157*H157,2))</f>
        <v/>
      </c>
      <c r="K157" s="61" t="n"/>
      <c r="L157" s="64">
        <f>IF(A157="","",DATE(YEAR(A157),MONTH(A157),1))</f>
        <v/>
      </c>
      <c r="M157" s="61" t="n"/>
      <c r="N157" s="65" t="n"/>
      <c r="O157" s="62">
        <f>IF(B157="Revenue",G157,0)</f>
        <v/>
      </c>
      <c r="P157" s="62">
        <f>IF(B157="Expense",G157,0)</f>
        <v/>
      </c>
      <c r="Q157" s="61" t="n"/>
    </row>
    <row r="158">
      <c r="A158" s="60" t="n"/>
      <c r="B158" s="61" t="n"/>
      <c r="C158" s="61" t="n"/>
      <c r="D158" s="61" t="n"/>
      <c r="E158" s="61" t="n"/>
      <c r="F158" s="61" t="n"/>
      <c r="G158" s="62" t="n"/>
      <c r="H158" s="63">
        <f>IF(A158="","",Settings!$B$4)</f>
        <v/>
      </c>
      <c r="I158" s="62">
        <f>IF(G158="","",IF(OR(B158="Revenue",K158="Yes"),ROUND(G158*H158,2),0))</f>
        <v/>
      </c>
      <c r="J158" s="62">
        <f>IF(G158="","",G158+ROUND(G158*H158,2))</f>
        <v/>
      </c>
      <c r="K158" s="61" t="n"/>
      <c r="L158" s="64">
        <f>IF(A158="","",DATE(YEAR(A158),MONTH(A158),1))</f>
        <v/>
      </c>
      <c r="M158" s="61" t="n"/>
      <c r="N158" s="65" t="n"/>
      <c r="O158" s="62">
        <f>IF(B158="Revenue",G158,0)</f>
        <v/>
      </c>
      <c r="P158" s="62">
        <f>IF(B158="Expense",G158,0)</f>
        <v/>
      </c>
      <c r="Q158" s="61" t="n"/>
    </row>
    <row r="159">
      <c r="A159" s="60" t="n"/>
      <c r="B159" s="61" t="n"/>
      <c r="C159" s="61" t="n"/>
      <c r="D159" s="61" t="n"/>
      <c r="E159" s="61" t="n"/>
      <c r="F159" s="61" t="n"/>
      <c r="G159" s="62" t="n"/>
      <c r="H159" s="63">
        <f>IF(A159="","",Settings!$B$4)</f>
        <v/>
      </c>
      <c r="I159" s="62">
        <f>IF(G159="","",IF(OR(B159="Revenue",K159="Yes"),ROUND(G159*H159,2),0))</f>
        <v/>
      </c>
      <c r="J159" s="62">
        <f>IF(G159="","",G159+ROUND(G159*H159,2))</f>
        <v/>
      </c>
      <c r="K159" s="61" t="n"/>
      <c r="L159" s="64">
        <f>IF(A159="","",DATE(YEAR(A159),MONTH(A159),1))</f>
        <v/>
      </c>
      <c r="M159" s="61" t="n"/>
      <c r="N159" s="65" t="n"/>
      <c r="O159" s="62">
        <f>IF(B159="Revenue",G159,0)</f>
        <v/>
      </c>
      <c r="P159" s="62">
        <f>IF(B159="Expense",G159,0)</f>
        <v/>
      </c>
      <c r="Q159" s="61" t="n"/>
    </row>
    <row r="160">
      <c r="A160" s="60" t="n"/>
      <c r="B160" s="61" t="n"/>
      <c r="C160" s="61" t="n"/>
      <c r="D160" s="61" t="n"/>
      <c r="E160" s="61" t="n"/>
      <c r="F160" s="61" t="n"/>
      <c r="G160" s="62" t="n"/>
      <c r="H160" s="63">
        <f>IF(A160="","",Settings!$B$4)</f>
        <v/>
      </c>
      <c r="I160" s="62">
        <f>IF(G160="","",IF(OR(B160="Revenue",K160="Yes"),ROUND(G160*H160,2),0))</f>
        <v/>
      </c>
      <c r="J160" s="62">
        <f>IF(G160="","",G160+ROUND(G160*H160,2))</f>
        <v/>
      </c>
      <c r="K160" s="61" t="n"/>
      <c r="L160" s="64">
        <f>IF(A160="","",DATE(YEAR(A160),MONTH(A160),1))</f>
        <v/>
      </c>
      <c r="M160" s="61" t="n"/>
      <c r="N160" s="65" t="n"/>
      <c r="O160" s="62">
        <f>IF(B160="Revenue",G160,0)</f>
        <v/>
      </c>
      <c r="P160" s="62">
        <f>IF(B160="Expense",G160,0)</f>
        <v/>
      </c>
      <c r="Q160" s="61" t="n"/>
    </row>
    <row r="161">
      <c r="A161" s="60" t="n"/>
      <c r="B161" s="61" t="n"/>
      <c r="C161" s="61" t="n"/>
      <c r="D161" s="61" t="n"/>
      <c r="E161" s="61" t="n"/>
      <c r="F161" s="61" t="n"/>
      <c r="G161" s="62" t="n"/>
      <c r="H161" s="63">
        <f>IF(A161="","",Settings!$B$4)</f>
        <v/>
      </c>
      <c r="I161" s="62">
        <f>IF(G161="","",IF(OR(B161="Revenue",K161="Yes"),ROUND(G161*H161,2),0))</f>
        <v/>
      </c>
      <c r="J161" s="62">
        <f>IF(G161="","",G161+ROUND(G161*H161,2))</f>
        <v/>
      </c>
      <c r="K161" s="61" t="n"/>
      <c r="L161" s="64">
        <f>IF(A161="","",DATE(YEAR(A161),MONTH(A161),1))</f>
        <v/>
      </c>
      <c r="M161" s="61" t="n"/>
      <c r="N161" s="65" t="n"/>
      <c r="O161" s="62">
        <f>IF(B161="Revenue",G161,0)</f>
        <v/>
      </c>
      <c r="P161" s="62">
        <f>IF(B161="Expense",G161,0)</f>
        <v/>
      </c>
      <c r="Q161" s="61" t="n"/>
    </row>
    <row r="162">
      <c r="A162" s="60" t="n"/>
      <c r="B162" s="61" t="n"/>
      <c r="C162" s="61" t="n"/>
      <c r="D162" s="61" t="n"/>
      <c r="E162" s="61" t="n"/>
      <c r="F162" s="61" t="n"/>
      <c r="G162" s="62" t="n"/>
      <c r="H162" s="63">
        <f>IF(A162="","",Settings!$B$4)</f>
        <v/>
      </c>
      <c r="I162" s="62">
        <f>IF(G162="","",IF(OR(B162="Revenue",K162="Yes"),ROUND(G162*H162,2),0))</f>
        <v/>
      </c>
      <c r="J162" s="62">
        <f>IF(G162="","",G162+ROUND(G162*H162,2))</f>
        <v/>
      </c>
      <c r="K162" s="61" t="n"/>
      <c r="L162" s="64">
        <f>IF(A162="","",DATE(YEAR(A162),MONTH(A162),1))</f>
        <v/>
      </c>
      <c r="M162" s="61" t="n"/>
      <c r="N162" s="65" t="n"/>
      <c r="O162" s="62">
        <f>IF(B162="Revenue",G162,0)</f>
        <v/>
      </c>
      <c r="P162" s="62">
        <f>IF(B162="Expense",G162,0)</f>
        <v/>
      </c>
      <c r="Q162" s="61" t="n"/>
    </row>
    <row r="163">
      <c r="A163" s="60" t="n"/>
      <c r="B163" s="61" t="n"/>
      <c r="C163" s="61" t="n"/>
      <c r="D163" s="61" t="n"/>
      <c r="E163" s="61" t="n"/>
      <c r="F163" s="61" t="n"/>
      <c r="G163" s="62" t="n"/>
      <c r="H163" s="63">
        <f>IF(A163="","",Settings!$B$4)</f>
        <v/>
      </c>
      <c r="I163" s="62">
        <f>IF(G163="","",IF(OR(B163="Revenue",K163="Yes"),ROUND(G163*H163,2),0))</f>
        <v/>
      </c>
      <c r="J163" s="62">
        <f>IF(G163="","",G163+ROUND(G163*H163,2))</f>
        <v/>
      </c>
      <c r="K163" s="61" t="n"/>
      <c r="L163" s="64">
        <f>IF(A163="","",DATE(YEAR(A163),MONTH(A163),1))</f>
        <v/>
      </c>
      <c r="M163" s="61" t="n"/>
      <c r="N163" s="65" t="n"/>
      <c r="O163" s="62">
        <f>IF(B163="Revenue",G163,0)</f>
        <v/>
      </c>
      <c r="P163" s="62">
        <f>IF(B163="Expense",G163,0)</f>
        <v/>
      </c>
      <c r="Q163" s="61" t="n"/>
    </row>
    <row r="164">
      <c r="A164" s="60" t="n"/>
      <c r="B164" s="61" t="n"/>
      <c r="C164" s="61" t="n"/>
      <c r="D164" s="61" t="n"/>
      <c r="E164" s="61" t="n"/>
      <c r="F164" s="61" t="n"/>
      <c r="G164" s="62" t="n"/>
      <c r="H164" s="63">
        <f>IF(A164="","",Settings!$B$4)</f>
        <v/>
      </c>
      <c r="I164" s="62">
        <f>IF(G164="","",IF(OR(B164="Revenue",K164="Yes"),ROUND(G164*H164,2),0))</f>
        <v/>
      </c>
      <c r="J164" s="62">
        <f>IF(G164="","",G164+ROUND(G164*H164,2))</f>
        <v/>
      </c>
      <c r="K164" s="61" t="n"/>
      <c r="L164" s="64">
        <f>IF(A164="","",DATE(YEAR(A164),MONTH(A164),1))</f>
        <v/>
      </c>
      <c r="M164" s="61" t="n"/>
      <c r="N164" s="65" t="n"/>
      <c r="O164" s="62">
        <f>IF(B164="Revenue",G164,0)</f>
        <v/>
      </c>
      <c r="P164" s="62">
        <f>IF(B164="Expense",G164,0)</f>
        <v/>
      </c>
      <c r="Q164" s="61" t="n"/>
    </row>
    <row r="165">
      <c r="A165" s="60" t="n"/>
      <c r="B165" s="61" t="n"/>
      <c r="C165" s="61" t="n"/>
      <c r="D165" s="61" t="n"/>
      <c r="E165" s="61" t="n"/>
      <c r="F165" s="61" t="n"/>
      <c r="G165" s="62" t="n"/>
      <c r="H165" s="63">
        <f>IF(A165="","",Settings!$B$4)</f>
        <v/>
      </c>
      <c r="I165" s="62">
        <f>IF(G165="","",IF(OR(B165="Revenue",K165="Yes"),ROUND(G165*H165,2),0))</f>
        <v/>
      </c>
      <c r="J165" s="62">
        <f>IF(G165="","",G165+ROUND(G165*H165,2))</f>
        <v/>
      </c>
      <c r="K165" s="61" t="n"/>
      <c r="L165" s="64">
        <f>IF(A165="","",DATE(YEAR(A165),MONTH(A165),1))</f>
        <v/>
      </c>
      <c r="M165" s="61" t="n"/>
      <c r="N165" s="65" t="n"/>
      <c r="O165" s="62">
        <f>IF(B165="Revenue",G165,0)</f>
        <v/>
      </c>
      <c r="P165" s="62">
        <f>IF(B165="Expense",G165,0)</f>
        <v/>
      </c>
      <c r="Q165" s="61" t="n"/>
    </row>
    <row r="166">
      <c r="A166" s="60" t="n"/>
      <c r="B166" s="61" t="n"/>
      <c r="C166" s="61" t="n"/>
      <c r="D166" s="61" t="n"/>
      <c r="E166" s="61" t="n"/>
      <c r="F166" s="61" t="n"/>
      <c r="G166" s="62" t="n"/>
      <c r="H166" s="63">
        <f>IF(A166="","",Settings!$B$4)</f>
        <v/>
      </c>
      <c r="I166" s="62">
        <f>IF(G166="","",IF(OR(B166="Revenue",K166="Yes"),ROUND(G166*H166,2),0))</f>
        <v/>
      </c>
      <c r="J166" s="62">
        <f>IF(G166="","",G166+ROUND(G166*H166,2))</f>
        <v/>
      </c>
      <c r="K166" s="61" t="n"/>
      <c r="L166" s="64">
        <f>IF(A166="","",DATE(YEAR(A166),MONTH(A166),1))</f>
        <v/>
      </c>
      <c r="M166" s="61" t="n"/>
      <c r="N166" s="65" t="n"/>
      <c r="O166" s="62">
        <f>IF(B166="Revenue",G166,0)</f>
        <v/>
      </c>
      <c r="P166" s="62">
        <f>IF(B166="Expense",G166,0)</f>
        <v/>
      </c>
      <c r="Q166" s="61" t="n"/>
    </row>
    <row r="167"/>
    <row r="168">
      <c r="A168" s="58" t="inlineStr">
        <is>
          <t>June 2026 / เดือน Jun</t>
        </is>
      </c>
    </row>
    <row r="169">
      <c r="A169" s="59" t="inlineStr">
        <is>
          <t>วันที่</t>
        </is>
      </c>
      <c r="B169" s="59" t="inlineStr">
        <is>
          <t>ประเภท</t>
        </is>
      </c>
      <c r="C169" s="59" t="inlineStr">
        <is>
          <t>เลขที่เอกสาร</t>
        </is>
      </c>
      <c r="D169" s="59" t="inlineStr">
        <is>
          <t>ลูกค้า/ผู้ขาย</t>
        </is>
      </c>
      <c r="E169" s="59" t="inlineStr">
        <is>
          <t>รายละเอียด</t>
        </is>
      </c>
      <c r="F169" s="59" t="inlineStr">
        <is>
          <t>หมวด</t>
        </is>
      </c>
      <c r="G169" s="59" t="inlineStr">
        <is>
          <t>ยอดก่อน VAT</t>
        </is>
      </c>
      <c r="H169" s="59" t="inlineStr">
        <is>
          <t>อัตรา VAT</t>
        </is>
      </c>
      <c r="I169" s="59" t="inlineStr">
        <is>
          <t>VAT</t>
        </is>
      </c>
      <c r="J169" s="59" t="inlineStr">
        <is>
          <t>ยอดรวม</t>
        </is>
      </c>
      <c r="K169" s="59" t="inlineStr">
        <is>
          <t>รับเงิน/ขอคืน VAT?</t>
        </is>
      </c>
      <c r="L169" s="59" t="inlineStr">
        <is>
          <t>เดือน</t>
        </is>
      </c>
      <c r="M169" s="59" t="inlineStr">
        <is>
          <t>ไฟล์เอกสาร</t>
        </is>
      </c>
      <c r="N169" s="59" t="inlineStr">
        <is>
          <t>OCR Confidence</t>
        </is>
      </c>
      <c r="O169" s="59" t="inlineStr">
        <is>
          <t>รายรับก่อน VAT</t>
        </is>
      </c>
      <c r="P169" s="59" t="inlineStr">
        <is>
          <t>ค่าใช้จ่ายก่อน VAT</t>
        </is>
      </c>
      <c r="Q169" s="59" t="inlineStr">
        <is>
          <t>หมายเหตุ</t>
        </is>
      </c>
      <c r="R169" s="74" t="inlineStr">
        <is>
          <t>ประเภทเอกสาร</t>
        </is>
      </c>
    </row>
    <row r="170">
      <c r="A170" s="60" t="n">
        <v>44008</v>
      </c>
      <c r="B170" s="61" t="inlineStr">
        <is>
          <t>Expense</t>
        </is>
      </c>
      <c r="C170" s="61" t="inlineStr">
        <is>
          <t>-</t>
        </is>
      </c>
      <c r="D170" s="61" t="inlineStr">
        <is>
          <t>บริษัท สุจิโรจน์ จำกัด</t>
        </is>
      </c>
      <c r="E170" s="61" t="inlineStr">
        <is>
          <t>LINE receipt OCR</t>
        </is>
      </c>
      <c r="F170" s="61" t="inlineStr">
        <is>
          <t>อื่น ๆ</t>
        </is>
      </c>
      <c r="G170" s="62" t="n">
        <v>4037.38</v>
      </c>
      <c r="H170" s="63" t="n">
        <v>0.07000000000000001</v>
      </c>
      <c r="I170" s="62">
        <f>IF(G170="","",IF(OR(B170="Revenue",K170="Yes"),ROUND(G170*H170,2),0))</f>
        <v/>
      </c>
      <c r="J170" s="62">
        <f>IF(G170="","",G170+ROUND(G170*H170,2))</f>
        <v/>
      </c>
      <c r="K170" s="61" t="inlineStr">
        <is>
          <t>Yes</t>
        </is>
      </c>
      <c r="L170" s="64">
        <f>IF(A170="","",DATE(YEAR(A170),MONTH(A170),1))</f>
        <v/>
      </c>
      <c r="M170" s="61" t="inlineStr">
        <is>
          <t>C:\Users\HP\Documents\Codex\2026-06-19\excel-vat-excel\outputs\line_uploaded_receipts\20260620_104332_619239839748849893_1ccac376.jpg</t>
        </is>
      </c>
      <c r="N170" s="65" t="n">
        <v>0.8</v>
      </c>
      <c r="O170" s="62">
        <f>IF(B170="Revenue",G170,0)</f>
        <v/>
      </c>
      <c r="P170" s="62">
        <f>IF(B170="Expense",G170,0)</f>
        <v/>
      </c>
      <c r="Q170" s="61" t="inlineStr">
        <is>
          <t xml:space="preserve">ะ , 7 We ล ย ค LR 0++- ๐ 0 ค ุ ณ กั ณ ฐิ ก า ท ุ ว ิ ชา น น ท ์ (0358) ท เมี่ ธั ญ ชน ก เต ชะ ด ี 0 ๕600564 ว ร เถ ม 2569 - z 5 x 2 ณั ง | า 180 ขึ ้ น 2 | - wream ต ั อ ท ร า ย + อ ุ ป ก ร ณ์ 9: | 3 ๕ 600 ขึ้น 120.00 4320.00 </t>
        </is>
      </c>
      <c r="R170" t="inlineStr">
        <is>
          <t>บิล/ใบเสร็จ</t>
        </is>
      </c>
    </row>
    <row r="171">
      <c r="A171" s="60" t="n">
        <v>42547</v>
      </c>
      <c r="B171" s="61" t="inlineStr">
        <is>
          <t>Expense</t>
        </is>
      </c>
      <c r="C171" s="61" t="inlineStr">
        <is>
          <t>-</t>
        </is>
      </c>
      <c r="D171" s="61" t="inlineStr">
        <is>
          <t>การไฟฟ้า</t>
        </is>
      </c>
      <c r="E171" s="61" t="inlineStr">
        <is>
          <t>LINE receipt OCR</t>
        </is>
      </c>
      <c r="F171" s="61" t="inlineStr">
        <is>
          <t>อื่น ๆ</t>
        </is>
      </c>
      <c r="G171" s="62" t="n">
        <v>2182.33</v>
      </c>
      <c r="H171" s="63" t="n">
        <v>0.07000000000000001</v>
      </c>
      <c r="I171" s="62">
        <f>IF(G171="","",IF(OR(B171="Revenue",K171="Yes"),ROUND(G171*H171,2),0))</f>
        <v/>
      </c>
      <c r="J171" s="62">
        <f>IF(G171="","",G171+ROUND(G171*H171,2))</f>
        <v/>
      </c>
      <c r="K171" s="61" t="inlineStr">
        <is>
          <t>Yes</t>
        </is>
      </c>
      <c r="L171" s="64">
        <f>IF(A171="","",DATE(YEAR(A171),MONTH(A171),1))</f>
        <v/>
      </c>
      <c r="M171" s="61" t="inlineStr">
        <is>
          <t>C:\Users\HP\Documents\Codex\2026-06-19\excel-vat-excel\outputs\line_uploaded_receipts\20260620_105926_619241439607390655_9dd8c1b6.jpg</t>
        </is>
      </c>
      <c r="N171" s="65" t="n">
        <v>1</v>
      </c>
      <c r="O171" s="62">
        <f>IF(B171="Revenue",G171,0)</f>
        <v/>
      </c>
      <c r="P171" s="62">
        <f>IF(B171="Expense",G171,0)</f>
        <v/>
      </c>
      <c r="Q171" s="61" t="inlineStr">
        <is>
          <t>เล | | ก า ร เฟ ฟ้า ศา บ า ชะ อ จํา น า ง น พ ส ม บ ู ร ณ์ เร้ ไฟ ฟ้า ส ลุ 99/53 ถุ น ร า ชิ ป a. ป) ม ป ร ะ จ ั า เตือน, JCHANO36 020004022945 6300116261 000011167534 06/2569 1125 0.0000 16/06/6812:19:33 16/06/69 12:19:39 os Grameen A Version §.91.050 สู 1 จ “ว ดิ น Gry 1,998.15 64.260 62.690 1.63 24.62 18538.000 เต ง 5000 603.00 0.1623 81.64 2,104.41 —H3+ &amp; 2,251.72 2,251.72 ฉิ ] [eee ท il ge 16/04/63 17/03/68_ 14/02/68 TT/01/88-17712768 by i 5 - แก ้ ก ร ะ แต ไฟ ฟ้า บ ั ต ชั ง 032-4 ท ป๊ 1 03</t>
        </is>
      </c>
      <c r="R171" t="inlineStr">
        <is>
          <t>ใบกำกับภาษี</t>
        </is>
      </c>
    </row>
    <row r="172">
      <c r="A172" s="60" t="n">
        <v>38164</v>
      </c>
      <c r="B172" s="61" t="inlineStr">
        <is>
          <t>Expense</t>
        </is>
      </c>
      <c r="C172" s="61" t="inlineStr">
        <is>
          <t>150302</t>
        </is>
      </c>
      <c r="D172" s="61" t="inlineStr">
        <is>
          <t>ใบ แจ ้ ง ห น ี ้ ค ่ า น ้ า ป ร ะ ป า</t>
        </is>
      </c>
      <c r="E172" s="61" t="inlineStr">
        <is>
          <t>LINE receipt OCR</t>
        </is>
      </c>
      <c r="F172" s="61" t="inlineStr">
        <is>
          <t>อื่น ๆ</t>
        </is>
      </c>
      <c r="G172" s="62" t="n">
        <v>33</v>
      </c>
      <c r="H172" s="63" t="n">
        <v>0.07000000000000001</v>
      </c>
      <c r="I172" s="62">
        <f>IF(G172="","",IF(OR(B172="Revenue",K172="Yes"),ROUND(G172*H172,2),0))</f>
        <v/>
      </c>
      <c r="J172" s="62">
        <f>IF(G172="","",G172+ROUND(G172*H172,2))</f>
        <v/>
      </c>
      <c r="K172" s="61" t="inlineStr">
        <is>
          <t>Yes</t>
        </is>
      </c>
      <c r="L172" s="64">
        <f>IF(A172="","",DATE(YEAR(A172),MONTH(A172),1))</f>
        <v/>
      </c>
      <c r="M172" s="61" t="inlineStr">
        <is>
          <t>C:\Users\HP\Documents\Codex\2026-06-19\excel-vat-excel\outputs\line_uploaded_receipts\20260620_112355_619243903895470345_e635d6a8.jpg</t>
        </is>
      </c>
      <c r="N172" s="65" t="n">
        <v>1</v>
      </c>
      <c r="O172" s="62">
        <f>IF(B172="Revenue",G172,0)</f>
        <v/>
      </c>
      <c r="P172" s="62">
        <f>IF(B172="Expense",G172,0)</f>
        <v/>
      </c>
      <c r="Q172" s="61" t="inlineStr">
        <is>
          <t>ใบ แจ ้ ง ห น ี ้ ค ่ า น ้ า ป ร ะ ป า ค ่ า ขยะ แล ะ ค ่ า บ ํ า บ ั ด น ํ า เส ี ย ก อ ง ก า ร ป ร ะ ป า เท ศ บ า ล เม ื อ ง ชะ อ ํ า ‘Municipality Waterworks Authority Cha-Am 503 ถ . เ พ ชร เก ษ ม ต ํ า บ ล ขะ อ ํ า อ ํ า เภ อ ซะ อ ํ า เพ ชร บ ุ ร ี 76120 .503 Phet Kasem Rd., Cha-am, Cha-am, Phetchaburi 76120 เล ข ป ร ะ จ ้ า ต ั ว ผู ้ เส ี ย ภา ษี / โ ล ID : 0994000541872 ้ า ป ร ะ จ ํ า เล ่ ม ท ี ่ เล ข ท ี ่ ใบ เส ร ็ จ เข ต เล ข ท ี ่ ผู ้ ใช ้ น ้ า 2 ท 20 69-4142| 3 | 94 ว ซื ่ อ ผู้</t>
        </is>
      </c>
      <c r="R172" t="inlineStr">
        <is>
          <t>ใบเสร็จ</t>
        </is>
      </c>
    </row>
    <row r="173">
      <c r="A173" s="60" t="n"/>
      <c r="B173" s="61" t="n"/>
      <c r="C173" s="61" t="n"/>
      <c r="D173" s="61" t="n"/>
      <c r="E173" s="61" t="n"/>
      <c r="F173" s="61" t="n"/>
      <c r="G173" s="62" t="n"/>
      <c r="H173" s="63">
        <f>IF(A173="","",Settings!$B$4)</f>
        <v/>
      </c>
      <c r="I173" s="62">
        <f>IF(G173="","",IF(OR(B173="Revenue",K173="Yes"),ROUND(G173*H173,2),0))</f>
        <v/>
      </c>
      <c r="J173" s="62">
        <f>IF(G173="","",G173+ROUND(G173*H173,2))</f>
        <v/>
      </c>
      <c r="K173" s="61" t="n"/>
      <c r="L173" s="64">
        <f>IF(A173="","",DATE(YEAR(A173),MONTH(A173),1))</f>
        <v/>
      </c>
      <c r="M173" s="61" t="n"/>
      <c r="N173" s="65" t="n"/>
      <c r="O173" s="62">
        <f>IF(B173="Revenue",G173,0)</f>
        <v/>
      </c>
      <c r="P173" s="62">
        <f>IF(B173="Expense",G173,0)</f>
        <v/>
      </c>
      <c r="Q173" s="61" t="n"/>
    </row>
    <row r="174">
      <c r="A174" s="60" t="n"/>
      <c r="B174" s="61" t="n"/>
      <c r="C174" s="61" t="n"/>
      <c r="D174" s="61" t="n"/>
      <c r="E174" s="61" t="n"/>
      <c r="F174" s="61" t="n"/>
      <c r="G174" s="62" t="n"/>
      <c r="H174" s="63">
        <f>IF(A174="","",Settings!$B$4)</f>
        <v/>
      </c>
      <c r="I174" s="62">
        <f>IF(G174="","",IF(OR(B174="Revenue",K174="Yes"),ROUND(G174*H174,2),0))</f>
        <v/>
      </c>
      <c r="J174" s="62">
        <f>IF(G174="","",G174+ROUND(G174*H174,2))</f>
        <v/>
      </c>
      <c r="K174" s="61" t="n"/>
      <c r="L174" s="64">
        <f>IF(A174="","",DATE(YEAR(A174),MONTH(A174),1))</f>
        <v/>
      </c>
      <c r="M174" s="61" t="n"/>
      <c r="N174" s="65" t="n"/>
      <c r="O174" s="62">
        <f>IF(B174="Revenue",G174,0)</f>
        <v/>
      </c>
      <c r="P174" s="62">
        <f>IF(B174="Expense",G174,0)</f>
        <v/>
      </c>
      <c r="Q174" s="61" t="n"/>
    </row>
    <row r="175">
      <c r="A175" s="60" t="n"/>
      <c r="B175" s="61" t="n"/>
      <c r="C175" s="61" t="n"/>
      <c r="D175" s="61" t="n"/>
      <c r="E175" s="61" t="n"/>
      <c r="F175" s="61" t="n"/>
      <c r="G175" s="62" t="n"/>
      <c r="H175" s="63">
        <f>IF(A175="","",Settings!$B$4)</f>
        <v/>
      </c>
      <c r="I175" s="62">
        <f>IF(G175="","",IF(OR(B175="Revenue",K175="Yes"),ROUND(G175*H175,2),0))</f>
        <v/>
      </c>
      <c r="J175" s="62">
        <f>IF(G175="","",G175+ROUND(G175*H175,2))</f>
        <v/>
      </c>
      <c r="K175" s="61" t="n"/>
      <c r="L175" s="64">
        <f>IF(A175="","",DATE(YEAR(A175),MONTH(A175),1))</f>
        <v/>
      </c>
      <c r="M175" s="61" t="n"/>
      <c r="N175" s="65" t="n"/>
      <c r="O175" s="62">
        <f>IF(B175="Revenue",G175,0)</f>
        <v/>
      </c>
      <c r="P175" s="62">
        <f>IF(B175="Expense",G175,0)</f>
        <v/>
      </c>
      <c r="Q175" s="61" t="n"/>
    </row>
    <row r="176">
      <c r="A176" s="60" t="n"/>
      <c r="B176" s="61" t="n"/>
      <c r="C176" s="61" t="n"/>
      <c r="D176" s="61" t="n"/>
      <c r="E176" s="61" t="n"/>
      <c r="F176" s="61" t="n"/>
      <c r="G176" s="62" t="n"/>
      <c r="H176" s="63">
        <f>IF(A176="","",Settings!$B$4)</f>
        <v/>
      </c>
      <c r="I176" s="62">
        <f>IF(G176="","",IF(OR(B176="Revenue",K176="Yes"),ROUND(G176*H176,2),0))</f>
        <v/>
      </c>
      <c r="J176" s="62">
        <f>IF(G176="","",G176+ROUND(G176*H176,2))</f>
        <v/>
      </c>
      <c r="K176" s="61" t="n"/>
      <c r="L176" s="64">
        <f>IF(A176="","",DATE(YEAR(A176),MONTH(A176),1))</f>
        <v/>
      </c>
      <c r="M176" s="61" t="n"/>
      <c r="N176" s="65" t="n"/>
      <c r="O176" s="62">
        <f>IF(B176="Revenue",G176,0)</f>
        <v/>
      </c>
      <c r="P176" s="62">
        <f>IF(B176="Expense",G176,0)</f>
        <v/>
      </c>
      <c r="Q176" s="61" t="n"/>
    </row>
    <row r="177">
      <c r="A177" s="60" t="n"/>
      <c r="B177" s="61" t="n"/>
      <c r="C177" s="61" t="n"/>
      <c r="D177" s="61" t="n"/>
      <c r="E177" s="61" t="n"/>
      <c r="F177" s="61" t="n"/>
      <c r="G177" s="62" t="n"/>
      <c r="H177" s="63">
        <f>IF(A177="","",Settings!$B$4)</f>
        <v/>
      </c>
      <c r="I177" s="62">
        <f>IF(G177="","",IF(OR(B177="Revenue",K177="Yes"),ROUND(G177*H177,2),0))</f>
        <v/>
      </c>
      <c r="J177" s="62">
        <f>IF(G177="","",G177+ROUND(G177*H177,2))</f>
        <v/>
      </c>
      <c r="K177" s="61" t="n"/>
      <c r="L177" s="64">
        <f>IF(A177="","",DATE(YEAR(A177),MONTH(A177),1))</f>
        <v/>
      </c>
      <c r="M177" s="61" t="n"/>
      <c r="N177" s="65" t="n"/>
      <c r="O177" s="62">
        <f>IF(B177="Revenue",G177,0)</f>
        <v/>
      </c>
      <c r="P177" s="62">
        <f>IF(B177="Expense",G177,0)</f>
        <v/>
      </c>
      <c r="Q177" s="61" t="n"/>
    </row>
    <row r="178">
      <c r="A178" s="60" t="n"/>
      <c r="B178" s="61" t="n"/>
      <c r="C178" s="61" t="n"/>
      <c r="D178" s="61" t="n"/>
      <c r="E178" s="61" t="n"/>
      <c r="F178" s="61" t="n"/>
      <c r="G178" s="62" t="n"/>
      <c r="H178" s="63">
        <f>IF(A178="","",Settings!$B$4)</f>
        <v/>
      </c>
      <c r="I178" s="62">
        <f>IF(G178="","",IF(OR(B178="Revenue",K178="Yes"),ROUND(G178*H178,2),0))</f>
        <v/>
      </c>
      <c r="J178" s="62">
        <f>IF(G178="","",G178+ROUND(G178*H178,2))</f>
        <v/>
      </c>
      <c r="K178" s="61" t="n"/>
      <c r="L178" s="64">
        <f>IF(A178="","",DATE(YEAR(A178),MONTH(A178),1))</f>
        <v/>
      </c>
      <c r="M178" s="61" t="n"/>
      <c r="N178" s="65" t="n"/>
      <c r="O178" s="62">
        <f>IF(B178="Revenue",G178,0)</f>
        <v/>
      </c>
      <c r="P178" s="62">
        <f>IF(B178="Expense",G178,0)</f>
        <v/>
      </c>
      <c r="Q178" s="61" t="n"/>
    </row>
    <row r="179">
      <c r="A179" s="60" t="n"/>
      <c r="B179" s="61" t="n"/>
      <c r="C179" s="61" t="n"/>
      <c r="D179" s="61" t="n"/>
      <c r="E179" s="61" t="n"/>
      <c r="F179" s="61" t="n"/>
      <c r="G179" s="62" t="n"/>
      <c r="H179" s="63">
        <f>IF(A179="","",Settings!$B$4)</f>
        <v/>
      </c>
      <c r="I179" s="62">
        <f>IF(G179="","",IF(OR(B179="Revenue",K179="Yes"),ROUND(G179*H179,2),0))</f>
        <v/>
      </c>
      <c r="J179" s="62">
        <f>IF(G179="","",G179+ROUND(G179*H179,2))</f>
        <v/>
      </c>
      <c r="K179" s="61" t="n"/>
      <c r="L179" s="64">
        <f>IF(A179="","",DATE(YEAR(A179),MONTH(A179),1))</f>
        <v/>
      </c>
      <c r="M179" s="61" t="n"/>
      <c r="N179" s="65" t="n"/>
      <c r="O179" s="62">
        <f>IF(B179="Revenue",G179,0)</f>
        <v/>
      </c>
      <c r="P179" s="62">
        <f>IF(B179="Expense",G179,0)</f>
        <v/>
      </c>
      <c r="Q179" s="61" t="n"/>
    </row>
    <row r="180">
      <c r="A180" s="60" t="n"/>
      <c r="B180" s="61" t="n"/>
      <c r="C180" s="61" t="n"/>
      <c r="D180" s="61" t="n"/>
      <c r="E180" s="61" t="n"/>
      <c r="F180" s="61" t="n"/>
      <c r="G180" s="62" t="n"/>
      <c r="H180" s="63">
        <f>IF(A180="","",Settings!$B$4)</f>
        <v/>
      </c>
      <c r="I180" s="62">
        <f>IF(G180="","",IF(OR(B180="Revenue",K180="Yes"),ROUND(G180*H180,2),0))</f>
        <v/>
      </c>
      <c r="J180" s="62">
        <f>IF(G180="","",G180+ROUND(G180*H180,2))</f>
        <v/>
      </c>
      <c r="K180" s="61" t="n"/>
      <c r="L180" s="64">
        <f>IF(A180="","",DATE(YEAR(A180),MONTH(A180),1))</f>
        <v/>
      </c>
      <c r="M180" s="61" t="n"/>
      <c r="N180" s="65" t="n"/>
      <c r="O180" s="62">
        <f>IF(B180="Revenue",G180,0)</f>
        <v/>
      </c>
      <c r="P180" s="62">
        <f>IF(B180="Expense",G180,0)</f>
        <v/>
      </c>
      <c r="Q180" s="61" t="n"/>
    </row>
    <row r="181">
      <c r="A181" s="60" t="n"/>
      <c r="B181" s="61" t="n"/>
      <c r="C181" s="61" t="n"/>
      <c r="D181" s="61" t="n"/>
      <c r="E181" s="61" t="n"/>
      <c r="F181" s="61" t="n"/>
      <c r="G181" s="62" t="n"/>
      <c r="H181" s="63">
        <f>IF(A181="","",Settings!$B$4)</f>
        <v/>
      </c>
      <c r="I181" s="62">
        <f>IF(G181="","",IF(OR(B181="Revenue",K181="Yes"),ROUND(G181*H181,2),0))</f>
        <v/>
      </c>
      <c r="J181" s="62">
        <f>IF(G181="","",G181+ROUND(G181*H181,2))</f>
        <v/>
      </c>
      <c r="K181" s="61" t="n"/>
      <c r="L181" s="64">
        <f>IF(A181="","",DATE(YEAR(A181),MONTH(A181),1))</f>
        <v/>
      </c>
      <c r="M181" s="61" t="n"/>
      <c r="N181" s="65" t="n"/>
      <c r="O181" s="62">
        <f>IF(B181="Revenue",G181,0)</f>
        <v/>
      </c>
      <c r="P181" s="62">
        <f>IF(B181="Expense",G181,0)</f>
        <v/>
      </c>
      <c r="Q181" s="61" t="n"/>
    </row>
    <row r="182">
      <c r="A182" s="60" t="n"/>
      <c r="B182" s="61" t="n"/>
      <c r="C182" s="61" t="n"/>
      <c r="D182" s="61" t="n"/>
      <c r="E182" s="61" t="n"/>
      <c r="F182" s="61" t="n"/>
      <c r="G182" s="62" t="n"/>
      <c r="H182" s="63">
        <f>IF(A182="","",Settings!$B$4)</f>
        <v/>
      </c>
      <c r="I182" s="62">
        <f>IF(G182="","",IF(OR(B182="Revenue",K182="Yes"),ROUND(G182*H182,2),0))</f>
        <v/>
      </c>
      <c r="J182" s="62">
        <f>IF(G182="","",G182+ROUND(G182*H182,2))</f>
        <v/>
      </c>
      <c r="K182" s="61" t="n"/>
      <c r="L182" s="64">
        <f>IF(A182="","",DATE(YEAR(A182),MONTH(A182),1))</f>
        <v/>
      </c>
      <c r="M182" s="61" t="n"/>
      <c r="N182" s="65" t="n"/>
      <c r="O182" s="62">
        <f>IF(B182="Revenue",G182,0)</f>
        <v/>
      </c>
      <c r="P182" s="62">
        <f>IF(B182="Expense",G182,0)</f>
        <v/>
      </c>
      <c r="Q182" s="61" t="n"/>
    </row>
    <row r="183">
      <c r="A183" s="60" t="n"/>
      <c r="B183" s="61" t="n"/>
      <c r="C183" s="61" t="n"/>
      <c r="D183" s="61" t="n"/>
      <c r="E183" s="61" t="n"/>
      <c r="F183" s="61" t="n"/>
      <c r="G183" s="62" t="n"/>
      <c r="H183" s="63">
        <f>IF(A183="","",Settings!$B$4)</f>
        <v/>
      </c>
      <c r="I183" s="62">
        <f>IF(G183="","",IF(OR(B183="Revenue",K183="Yes"),ROUND(G183*H183,2),0))</f>
        <v/>
      </c>
      <c r="J183" s="62">
        <f>IF(G183="","",G183+ROUND(G183*H183,2))</f>
        <v/>
      </c>
      <c r="K183" s="61" t="n"/>
      <c r="L183" s="64">
        <f>IF(A183="","",DATE(YEAR(A183),MONTH(A183),1))</f>
        <v/>
      </c>
      <c r="M183" s="61" t="n"/>
      <c r="N183" s="65" t="n"/>
      <c r="O183" s="62">
        <f>IF(B183="Revenue",G183,0)</f>
        <v/>
      </c>
      <c r="P183" s="62">
        <f>IF(B183="Expense",G183,0)</f>
        <v/>
      </c>
      <c r="Q183" s="61" t="n"/>
    </row>
    <row r="184">
      <c r="A184" s="60" t="n"/>
      <c r="B184" s="61" t="n"/>
      <c r="C184" s="61" t="n"/>
      <c r="D184" s="61" t="n"/>
      <c r="E184" s="61" t="n"/>
      <c r="F184" s="61" t="n"/>
      <c r="G184" s="62" t="n"/>
      <c r="H184" s="63">
        <f>IF(A184="","",Settings!$B$4)</f>
        <v/>
      </c>
      <c r="I184" s="62">
        <f>IF(G184="","",IF(OR(B184="Revenue",K184="Yes"),ROUND(G184*H184,2),0))</f>
        <v/>
      </c>
      <c r="J184" s="62">
        <f>IF(G184="","",G184+ROUND(G184*H184,2))</f>
        <v/>
      </c>
      <c r="K184" s="61" t="n"/>
      <c r="L184" s="64">
        <f>IF(A184="","",DATE(YEAR(A184),MONTH(A184),1))</f>
        <v/>
      </c>
      <c r="M184" s="61" t="n"/>
      <c r="N184" s="65" t="n"/>
      <c r="O184" s="62">
        <f>IF(B184="Revenue",G184,0)</f>
        <v/>
      </c>
      <c r="P184" s="62">
        <f>IF(B184="Expense",G184,0)</f>
        <v/>
      </c>
      <c r="Q184" s="61" t="n"/>
    </row>
    <row r="185">
      <c r="A185" s="60" t="n"/>
      <c r="B185" s="61" t="n"/>
      <c r="C185" s="61" t="n"/>
      <c r="D185" s="61" t="n"/>
      <c r="E185" s="61" t="n"/>
      <c r="F185" s="61" t="n"/>
      <c r="G185" s="62" t="n"/>
      <c r="H185" s="63">
        <f>IF(A185="","",Settings!$B$4)</f>
        <v/>
      </c>
      <c r="I185" s="62">
        <f>IF(G185="","",IF(OR(B185="Revenue",K185="Yes"),ROUND(G185*H185,2),0))</f>
        <v/>
      </c>
      <c r="J185" s="62">
        <f>IF(G185="","",G185+ROUND(G185*H185,2))</f>
        <v/>
      </c>
      <c r="K185" s="61" t="n"/>
      <c r="L185" s="64">
        <f>IF(A185="","",DATE(YEAR(A185),MONTH(A185),1))</f>
        <v/>
      </c>
      <c r="M185" s="61" t="n"/>
      <c r="N185" s="65" t="n"/>
      <c r="O185" s="62">
        <f>IF(B185="Revenue",G185,0)</f>
        <v/>
      </c>
      <c r="P185" s="62">
        <f>IF(B185="Expense",G185,0)</f>
        <v/>
      </c>
      <c r="Q185" s="61" t="n"/>
    </row>
    <row r="186">
      <c r="A186" s="60" t="n"/>
      <c r="B186" s="61" t="n"/>
      <c r="C186" s="61" t="n"/>
      <c r="D186" s="61" t="n"/>
      <c r="E186" s="61" t="n"/>
      <c r="F186" s="61" t="n"/>
      <c r="G186" s="62" t="n"/>
      <c r="H186" s="63">
        <f>IF(A186="","",Settings!$B$4)</f>
        <v/>
      </c>
      <c r="I186" s="62">
        <f>IF(G186="","",IF(OR(B186="Revenue",K186="Yes"),ROUND(G186*H186,2),0))</f>
        <v/>
      </c>
      <c r="J186" s="62">
        <f>IF(G186="","",G186+ROUND(G186*H186,2))</f>
        <v/>
      </c>
      <c r="K186" s="61" t="n"/>
      <c r="L186" s="64">
        <f>IF(A186="","",DATE(YEAR(A186),MONTH(A186),1))</f>
        <v/>
      </c>
      <c r="M186" s="61" t="n"/>
      <c r="N186" s="65" t="n"/>
      <c r="O186" s="62">
        <f>IF(B186="Revenue",G186,0)</f>
        <v/>
      </c>
      <c r="P186" s="62">
        <f>IF(B186="Expense",G186,0)</f>
        <v/>
      </c>
      <c r="Q186" s="61" t="n"/>
    </row>
    <row r="187">
      <c r="A187" s="60" t="n"/>
      <c r="B187" s="61" t="n"/>
      <c r="C187" s="61" t="n"/>
      <c r="D187" s="61" t="n"/>
      <c r="E187" s="61" t="n"/>
      <c r="F187" s="61" t="n"/>
      <c r="G187" s="62" t="n"/>
      <c r="H187" s="63">
        <f>IF(A187="","",Settings!$B$4)</f>
        <v/>
      </c>
      <c r="I187" s="62">
        <f>IF(G187="","",IF(OR(B187="Revenue",K187="Yes"),ROUND(G187*H187,2),0))</f>
        <v/>
      </c>
      <c r="J187" s="62">
        <f>IF(G187="","",G187+ROUND(G187*H187,2))</f>
        <v/>
      </c>
      <c r="K187" s="61" t="n"/>
      <c r="L187" s="64">
        <f>IF(A187="","",DATE(YEAR(A187),MONTH(A187),1))</f>
        <v/>
      </c>
      <c r="M187" s="61" t="n"/>
      <c r="N187" s="65" t="n"/>
      <c r="O187" s="62">
        <f>IF(B187="Revenue",G187,0)</f>
        <v/>
      </c>
      <c r="P187" s="62">
        <f>IF(B187="Expense",G187,0)</f>
        <v/>
      </c>
      <c r="Q187" s="61" t="n"/>
    </row>
    <row r="188">
      <c r="A188" s="60" t="n"/>
      <c r="B188" s="61" t="n"/>
      <c r="C188" s="61" t="n"/>
      <c r="D188" s="61" t="n"/>
      <c r="E188" s="61" t="n"/>
      <c r="F188" s="61" t="n"/>
      <c r="G188" s="62" t="n"/>
      <c r="H188" s="63">
        <f>IF(A188="","",Settings!$B$4)</f>
        <v/>
      </c>
      <c r="I188" s="62">
        <f>IF(G188="","",IF(OR(B188="Revenue",K188="Yes"),ROUND(G188*H188,2),0))</f>
        <v/>
      </c>
      <c r="J188" s="62">
        <f>IF(G188="","",G188+ROUND(G188*H188,2))</f>
        <v/>
      </c>
      <c r="K188" s="61" t="n"/>
      <c r="L188" s="64">
        <f>IF(A188="","",DATE(YEAR(A188),MONTH(A188),1))</f>
        <v/>
      </c>
      <c r="M188" s="61" t="n"/>
      <c r="N188" s="65" t="n"/>
      <c r="O188" s="62">
        <f>IF(B188="Revenue",G188,0)</f>
        <v/>
      </c>
      <c r="P188" s="62">
        <f>IF(B188="Expense",G188,0)</f>
        <v/>
      </c>
      <c r="Q188" s="61" t="n"/>
    </row>
    <row r="189">
      <c r="A189" s="60" t="n"/>
      <c r="B189" s="61" t="n"/>
      <c r="C189" s="61" t="n"/>
      <c r="D189" s="61" t="n"/>
      <c r="E189" s="61" t="n"/>
      <c r="F189" s="61" t="n"/>
      <c r="G189" s="62" t="n"/>
      <c r="H189" s="63">
        <f>IF(A189="","",Settings!$B$4)</f>
        <v/>
      </c>
      <c r="I189" s="62">
        <f>IF(G189="","",IF(OR(B189="Revenue",K189="Yes"),ROUND(G189*H189,2),0))</f>
        <v/>
      </c>
      <c r="J189" s="62">
        <f>IF(G189="","",G189+ROUND(G189*H189,2))</f>
        <v/>
      </c>
      <c r="K189" s="61" t="n"/>
      <c r="L189" s="64">
        <f>IF(A189="","",DATE(YEAR(A189),MONTH(A189),1))</f>
        <v/>
      </c>
      <c r="M189" s="61" t="n"/>
      <c r="N189" s="65" t="n"/>
      <c r="O189" s="62">
        <f>IF(B189="Revenue",G189,0)</f>
        <v/>
      </c>
      <c r="P189" s="62">
        <f>IF(B189="Expense",G189,0)</f>
        <v/>
      </c>
      <c r="Q189" s="61" t="n"/>
    </row>
    <row r="190">
      <c r="A190" s="60" t="n"/>
      <c r="B190" s="61" t="n"/>
      <c r="C190" s="61" t="n"/>
      <c r="D190" s="61" t="n"/>
      <c r="E190" s="61" t="n"/>
      <c r="F190" s="61" t="n"/>
      <c r="G190" s="62" t="n"/>
      <c r="H190" s="63">
        <f>IF(A190="","",Settings!$B$4)</f>
        <v/>
      </c>
      <c r="I190" s="62">
        <f>IF(G190="","",IF(OR(B190="Revenue",K190="Yes"),ROUND(G190*H190,2),0))</f>
        <v/>
      </c>
      <c r="J190" s="62">
        <f>IF(G190="","",G190+ROUND(G190*H190,2))</f>
        <v/>
      </c>
      <c r="K190" s="61" t="n"/>
      <c r="L190" s="64">
        <f>IF(A190="","",DATE(YEAR(A190),MONTH(A190),1))</f>
        <v/>
      </c>
      <c r="M190" s="61" t="n"/>
      <c r="N190" s="65" t="n"/>
      <c r="O190" s="62">
        <f>IF(B190="Revenue",G190,0)</f>
        <v/>
      </c>
      <c r="P190" s="62">
        <f>IF(B190="Expense",G190,0)</f>
        <v/>
      </c>
      <c r="Q190" s="61" t="n"/>
    </row>
    <row r="191">
      <c r="A191" s="60" t="n"/>
      <c r="B191" s="61" t="n"/>
      <c r="C191" s="61" t="n"/>
      <c r="D191" s="61" t="n"/>
      <c r="E191" s="61" t="n"/>
      <c r="F191" s="61" t="n"/>
      <c r="G191" s="62" t="n"/>
      <c r="H191" s="63">
        <f>IF(A191="","",Settings!$B$4)</f>
        <v/>
      </c>
      <c r="I191" s="62">
        <f>IF(G191="","",IF(OR(B191="Revenue",K191="Yes"),ROUND(G191*H191,2),0))</f>
        <v/>
      </c>
      <c r="J191" s="62">
        <f>IF(G191="","",G191+ROUND(G191*H191,2))</f>
        <v/>
      </c>
      <c r="K191" s="61" t="n"/>
      <c r="L191" s="64">
        <f>IF(A191="","",DATE(YEAR(A191),MONTH(A191),1))</f>
        <v/>
      </c>
      <c r="M191" s="61" t="n"/>
      <c r="N191" s="65" t="n"/>
      <c r="O191" s="62">
        <f>IF(B191="Revenue",G191,0)</f>
        <v/>
      </c>
      <c r="P191" s="62">
        <f>IF(B191="Expense",G191,0)</f>
        <v/>
      </c>
      <c r="Q191" s="61" t="n"/>
    </row>
    <row r="192">
      <c r="A192" s="60" t="n"/>
      <c r="B192" s="61" t="n"/>
      <c r="C192" s="61" t="n"/>
      <c r="D192" s="61" t="n"/>
      <c r="E192" s="61" t="n"/>
      <c r="F192" s="61" t="n"/>
      <c r="G192" s="62" t="n"/>
      <c r="H192" s="63">
        <f>IF(A192="","",Settings!$B$4)</f>
        <v/>
      </c>
      <c r="I192" s="62">
        <f>IF(G192="","",IF(OR(B192="Revenue",K192="Yes"),ROUND(G192*H192,2),0))</f>
        <v/>
      </c>
      <c r="J192" s="62">
        <f>IF(G192="","",G192+ROUND(G192*H192,2))</f>
        <v/>
      </c>
      <c r="K192" s="61" t="n"/>
      <c r="L192" s="64">
        <f>IF(A192="","",DATE(YEAR(A192),MONTH(A192),1))</f>
        <v/>
      </c>
      <c r="M192" s="61" t="n"/>
      <c r="N192" s="65" t="n"/>
      <c r="O192" s="62">
        <f>IF(B192="Revenue",G192,0)</f>
        <v/>
      </c>
      <c r="P192" s="62">
        <f>IF(B192="Expense",G192,0)</f>
        <v/>
      </c>
      <c r="Q192" s="61" t="n"/>
    </row>
    <row r="193">
      <c r="A193" s="60" t="n"/>
      <c r="B193" s="61" t="n"/>
      <c r="C193" s="61" t="n"/>
      <c r="D193" s="61" t="n"/>
      <c r="E193" s="61" t="n"/>
      <c r="F193" s="61" t="n"/>
      <c r="G193" s="62" t="n"/>
      <c r="H193" s="63">
        <f>IF(A193="","",Settings!$B$4)</f>
        <v/>
      </c>
      <c r="I193" s="62">
        <f>IF(G193="","",IF(OR(B193="Revenue",K193="Yes"),ROUND(G193*H193,2),0))</f>
        <v/>
      </c>
      <c r="J193" s="62">
        <f>IF(G193="","",G193+ROUND(G193*H193,2))</f>
        <v/>
      </c>
      <c r="K193" s="61" t="n"/>
      <c r="L193" s="64">
        <f>IF(A193="","",DATE(YEAR(A193),MONTH(A193),1))</f>
        <v/>
      </c>
      <c r="M193" s="61" t="n"/>
      <c r="N193" s="65" t="n"/>
      <c r="O193" s="62">
        <f>IF(B193="Revenue",G193,0)</f>
        <v/>
      </c>
      <c r="P193" s="62">
        <f>IF(B193="Expense",G193,0)</f>
        <v/>
      </c>
      <c r="Q193" s="61" t="n"/>
    </row>
    <row r="194">
      <c r="A194" s="60" t="n"/>
      <c r="B194" s="61" t="n"/>
      <c r="C194" s="61" t="n"/>
      <c r="D194" s="61" t="n"/>
      <c r="E194" s="61" t="n"/>
      <c r="F194" s="61" t="n"/>
      <c r="G194" s="62" t="n"/>
      <c r="H194" s="63">
        <f>IF(A194="","",Settings!$B$4)</f>
        <v/>
      </c>
      <c r="I194" s="62">
        <f>IF(G194="","",IF(OR(B194="Revenue",K194="Yes"),ROUND(G194*H194,2),0))</f>
        <v/>
      </c>
      <c r="J194" s="62">
        <f>IF(G194="","",G194+ROUND(G194*H194,2))</f>
        <v/>
      </c>
      <c r="K194" s="61" t="n"/>
      <c r="L194" s="64">
        <f>IF(A194="","",DATE(YEAR(A194),MONTH(A194),1))</f>
        <v/>
      </c>
      <c r="M194" s="61" t="n"/>
      <c r="N194" s="65" t="n"/>
      <c r="O194" s="62">
        <f>IF(B194="Revenue",G194,0)</f>
        <v/>
      </c>
      <c r="P194" s="62">
        <f>IF(B194="Expense",G194,0)</f>
        <v/>
      </c>
      <c r="Q194" s="61" t="n"/>
    </row>
    <row r="195">
      <c r="A195" s="60" t="n"/>
      <c r="B195" s="61" t="n"/>
      <c r="C195" s="61" t="n"/>
      <c r="D195" s="61" t="n"/>
      <c r="E195" s="61" t="n"/>
      <c r="F195" s="61" t="n"/>
      <c r="G195" s="62" t="n"/>
      <c r="H195" s="63">
        <f>IF(A195="","",Settings!$B$4)</f>
        <v/>
      </c>
      <c r="I195" s="62">
        <f>IF(G195="","",IF(OR(B195="Revenue",K195="Yes"),ROUND(G195*H195,2),0))</f>
        <v/>
      </c>
      <c r="J195" s="62">
        <f>IF(G195="","",G195+ROUND(G195*H195,2))</f>
        <v/>
      </c>
      <c r="K195" s="61" t="n"/>
      <c r="L195" s="64">
        <f>IF(A195="","",DATE(YEAR(A195),MONTH(A195),1))</f>
        <v/>
      </c>
      <c r="M195" s="61" t="n"/>
      <c r="N195" s="65" t="n"/>
      <c r="O195" s="62">
        <f>IF(B195="Revenue",G195,0)</f>
        <v/>
      </c>
      <c r="P195" s="62">
        <f>IF(B195="Expense",G195,0)</f>
        <v/>
      </c>
      <c r="Q195" s="61" t="n"/>
    </row>
    <row r="196">
      <c r="A196" s="60" t="n"/>
      <c r="B196" s="61" t="n"/>
      <c r="C196" s="61" t="n"/>
      <c r="D196" s="61" t="n"/>
      <c r="E196" s="61" t="n"/>
      <c r="F196" s="61" t="n"/>
      <c r="G196" s="62" t="n"/>
      <c r="H196" s="63">
        <f>IF(A196="","",Settings!$B$4)</f>
        <v/>
      </c>
      <c r="I196" s="62">
        <f>IF(G196="","",IF(OR(B196="Revenue",K196="Yes"),ROUND(G196*H196,2),0))</f>
        <v/>
      </c>
      <c r="J196" s="62">
        <f>IF(G196="","",G196+ROUND(G196*H196,2))</f>
        <v/>
      </c>
      <c r="K196" s="61" t="n"/>
      <c r="L196" s="64">
        <f>IF(A196="","",DATE(YEAR(A196),MONTH(A196),1))</f>
        <v/>
      </c>
      <c r="M196" s="61" t="n"/>
      <c r="N196" s="65" t="n"/>
      <c r="O196" s="62">
        <f>IF(B196="Revenue",G196,0)</f>
        <v/>
      </c>
      <c r="P196" s="62">
        <f>IF(B196="Expense",G196,0)</f>
        <v/>
      </c>
      <c r="Q196" s="61" t="n"/>
    </row>
    <row r="197">
      <c r="A197" s="60" t="n"/>
      <c r="B197" s="61" t="n"/>
      <c r="C197" s="61" t="n"/>
      <c r="D197" s="61" t="n"/>
      <c r="E197" s="61" t="n"/>
      <c r="F197" s="61" t="n"/>
      <c r="G197" s="62" t="n"/>
      <c r="H197" s="63">
        <f>IF(A197="","",Settings!$B$4)</f>
        <v/>
      </c>
      <c r="I197" s="62">
        <f>IF(G197="","",IF(OR(B197="Revenue",K197="Yes"),ROUND(G197*H197,2),0))</f>
        <v/>
      </c>
      <c r="J197" s="62">
        <f>IF(G197="","",G197+ROUND(G197*H197,2))</f>
        <v/>
      </c>
      <c r="K197" s="61" t="n"/>
      <c r="L197" s="64">
        <f>IF(A197="","",DATE(YEAR(A197),MONTH(A197),1))</f>
        <v/>
      </c>
      <c r="M197" s="61" t="n"/>
      <c r="N197" s="65" t="n"/>
      <c r="O197" s="62">
        <f>IF(B197="Revenue",G197,0)</f>
        <v/>
      </c>
      <c r="P197" s="62">
        <f>IF(B197="Expense",G197,0)</f>
        <v/>
      </c>
      <c r="Q197" s="61" t="n"/>
    </row>
    <row r="198">
      <c r="A198" s="60" t="n"/>
      <c r="B198" s="61" t="n"/>
      <c r="C198" s="61" t="n"/>
      <c r="D198" s="61" t="n"/>
      <c r="E198" s="61" t="n"/>
      <c r="F198" s="61" t="n"/>
      <c r="G198" s="62" t="n"/>
      <c r="H198" s="63">
        <f>IF(A198="","",Settings!$B$4)</f>
        <v/>
      </c>
      <c r="I198" s="62">
        <f>IF(G198="","",IF(OR(B198="Revenue",K198="Yes"),ROUND(G198*H198,2),0))</f>
        <v/>
      </c>
      <c r="J198" s="62">
        <f>IF(G198="","",G198+ROUND(G198*H198,2))</f>
        <v/>
      </c>
      <c r="K198" s="61" t="n"/>
      <c r="L198" s="64">
        <f>IF(A198="","",DATE(YEAR(A198),MONTH(A198),1))</f>
        <v/>
      </c>
      <c r="M198" s="61" t="n"/>
      <c r="N198" s="65" t="n"/>
      <c r="O198" s="62">
        <f>IF(B198="Revenue",G198,0)</f>
        <v/>
      </c>
      <c r="P198" s="62">
        <f>IF(B198="Expense",G198,0)</f>
        <v/>
      </c>
      <c r="Q198" s="61" t="n"/>
    </row>
    <row r="199">
      <c r="A199" s="60" t="n"/>
      <c r="B199" s="61" t="n"/>
      <c r="C199" s="61" t="n"/>
      <c r="D199" s="61" t="n"/>
      <c r="E199" s="61" t="n"/>
      <c r="F199" s="61" t="n"/>
      <c r="G199" s="62" t="n"/>
      <c r="H199" s="63">
        <f>IF(A199="","",Settings!$B$4)</f>
        <v/>
      </c>
      <c r="I199" s="62">
        <f>IF(G199="","",IF(OR(B199="Revenue",K199="Yes"),ROUND(G199*H199,2),0))</f>
        <v/>
      </c>
      <c r="J199" s="62">
        <f>IF(G199="","",G199+ROUND(G199*H199,2))</f>
        <v/>
      </c>
      <c r="K199" s="61" t="n"/>
      <c r="L199" s="64">
        <f>IF(A199="","",DATE(YEAR(A199),MONTH(A199),1))</f>
        <v/>
      </c>
      <c r="M199" s="61" t="n"/>
      <c r="N199" s="65" t="n"/>
      <c r="O199" s="62">
        <f>IF(B199="Revenue",G199,0)</f>
        <v/>
      </c>
      <c r="P199" s="62">
        <f>IF(B199="Expense",G199,0)</f>
        <v/>
      </c>
      <c r="Q199" s="61" t="n"/>
    </row>
    <row r="201">
      <c r="A201" s="58" t="inlineStr">
        <is>
          <t>July 2026 / เดือน Jul</t>
        </is>
      </c>
    </row>
    <row r="202">
      <c r="A202" s="59" t="inlineStr">
        <is>
          <t>วันที่</t>
        </is>
      </c>
      <c r="B202" s="59" t="inlineStr">
        <is>
          <t>ประเภท</t>
        </is>
      </c>
      <c r="C202" s="59" t="inlineStr">
        <is>
          <t>เลขที่เอกสาร</t>
        </is>
      </c>
      <c r="D202" s="59" t="inlineStr">
        <is>
          <t>ลูกค้า/ผู้ขาย</t>
        </is>
      </c>
      <c r="E202" s="59" t="inlineStr">
        <is>
          <t>รายละเอียด</t>
        </is>
      </c>
      <c r="F202" s="59" t="inlineStr">
        <is>
          <t>หมวด</t>
        </is>
      </c>
      <c r="G202" s="59" t="inlineStr">
        <is>
          <t>ยอดก่อน VAT</t>
        </is>
      </c>
      <c r="H202" s="59" t="inlineStr">
        <is>
          <t>อัตรา VAT</t>
        </is>
      </c>
      <c r="I202" s="59" t="inlineStr">
        <is>
          <t>VAT</t>
        </is>
      </c>
      <c r="J202" s="59" t="inlineStr">
        <is>
          <t>ยอดรวม</t>
        </is>
      </c>
      <c r="K202" s="59" t="inlineStr">
        <is>
          <t>รับเงิน/ขอคืน VAT?</t>
        </is>
      </c>
      <c r="L202" s="59" t="inlineStr">
        <is>
          <t>เดือน</t>
        </is>
      </c>
      <c r="M202" s="59" t="inlineStr">
        <is>
          <t>ไฟล์เอกสาร</t>
        </is>
      </c>
      <c r="N202" s="59" t="inlineStr">
        <is>
          <t>OCR Confidence</t>
        </is>
      </c>
      <c r="O202" s="59" t="inlineStr">
        <is>
          <t>รายรับก่อน VAT</t>
        </is>
      </c>
      <c r="P202" s="59" t="inlineStr">
        <is>
          <t>ค่าใช้จ่ายก่อน VAT</t>
        </is>
      </c>
      <c r="Q202" s="59" t="inlineStr">
        <is>
          <t>หมายเหตุ</t>
        </is>
      </c>
      <c r="R202" s="74" t="inlineStr">
        <is>
          <t>ประเภทเอกสาร</t>
        </is>
      </c>
    </row>
    <row r="203">
      <c r="A203" s="60" t="n"/>
      <c r="B203" s="61" t="n"/>
      <c r="C203" s="61" t="n"/>
      <c r="D203" s="61" t="n"/>
      <c r="E203" s="61" t="n"/>
      <c r="F203" s="61" t="n"/>
      <c r="G203" s="62" t="n"/>
      <c r="H203" s="63">
        <f>IF(A203="","",Settings!$B$4)</f>
        <v/>
      </c>
      <c r="I203" s="62">
        <f>IF(G203="","",IF(OR(B203="Revenue",K203="Yes"),ROUND(G203*H203,2),0))</f>
        <v/>
      </c>
      <c r="J203" s="62">
        <f>IF(G203="","",G203+ROUND(G203*H203,2))</f>
        <v/>
      </c>
      <c r="K203" s="61" t="n"/>
      <c r="L203" s="64">
        <f>IF(A203="","",DATE(YEAR(A203),MONTH(A203),1))</f>
        <v/>
      </c>
      <c r="M203" s="61" t="n"/>
      <c r="N203" s="65" t="n"/>
      <c r="O203" s="62">
        <f>IF(B203="Revenue",G203,0)</f>
        <v/>
      </c>
      <c r="P203" s="62">
        <f>IF(B203="Expense",G203,0)</f>
        <v/>
      </c>
      <c r="Q203" s="61" t="n"/>
    </row>
    <row r="204">
      <c r="A204" s="60" t="n"/>
      <c r="B204" s="61" t="n"/>
      <c r="C204" s="61" t="n"/>
      <c r="D204" s="61" t="n"/>
      <c r="E204" s="61" t="n"/>
      <c r="F204" s="61" t="n"/>
      <c r="G204" s="62" t="n"/>
      <c r="H204" s="63">
        <f>IF(A204="","",Settings!$B$4)</f>
        <v/>
      </c>
      <c r="I204" s="62">
        <f>IF(G204="","",IF(OR(B204="Revenue",K204="Yes"),ROUND(G204*H204,2),0))</f>
        <v/>
      </c>
      <c r="J204" s="62">
        <f>IF(G204="","",G204+ROUND(G204*H204,2))</f>
        <v/>
      </c>
      <c r="K204" s="61" t="n"/>
      <c r="L204" s="64">
        <f>IF(A204="","",DATE(YEAR(A204),MONTH(A204),1))</f>
        <v/>
      </c>
      <c r="M204" s="61" t="n"/>
      <c r="N204" s="65" t="n"/>
      <c r="O204" s="62">
        <f>IF(B204="Revenue",G204,0)</f>
        <v/>
      </c>
      <c r="P204" s="62">
        <f>IF(B204="Expense",G204,0)</f>
        <v/>
      </c>
      <c r="Q204" s="61" t="n"/>
    </row>
    <row r="205">
      <c r="A205" s="60" t="n"/>
      <c r="B205" s="61" t="n"/>
      <c r="C205" s="61" t="n"/>
      <c r="D205" s="61" t="n"/>
      <c r="E205" s="61" t="n"/>
      <c r="F205" s="61" t="n"/>
      <c r="G205" s="62" t="n"/>
      <c r="H205" s="63">
        <f>IF(A205="","",Settings!$B$4)</f>
        <v/>
      </c>
      <c r="I205" s="62">
        <f>IF(G205="","",IF(OR(B205="Revenue",K205="Yes"),ROUND(G205*H205,2),0))</f>
        <v/>
      </c>
      <c r="J205" s="62">
        <f>IF(G205="","",G205+ROUND(G205*H205,2))</f>
        <v/>
      </c>
      <c r="K205" s="61" t="n"/>
      <c r="L205" s="64">
        <f>IF(A205="","",DATE(YEAR(A205),MONTH(A205),1))</f>
        <v/>
      </c>
      <c r="M205" s="61" t="n"/>
      <c r="N205" s="65" t="n"/>
      <c r="O205" s="62">
        <f>IF(B205="Revenue",G205,0)</f>
        <v/>
      </c>
      <c r="P205" s="62">
        <f>IF(B205="Expense",G205,0)</f>
        <v/>
      </c>
      <c r="Q205" s="61" t="n"/>
    </row>
    <row r="206">
      <c r="A206" s="60" t="n"/>
      <c r="B206" s="61" t="n"/>
      <c r="C206" s="61" t="n"/>
      <c r="D206" s="61" t="n"/>
      <c r="E206" s="61" t="n"/>
      <c r="F206" s="61" t="n"/>
      <c r="G206" s="62" t="n"/>
      <c r="H206" s="63">
        <f>IF(A206="","",Settings!$B$4)</f>
        <v/>
      </c>
      <c r="I206" s="62">
        <f>IF(G206="","",IF(OR(B206="Revenue",K206="Yes"),ROUND(G206*H206,2),0))</f>
        <v/>
      </c>
      <c r="J206" s="62">
        <f>IF(G206="","",G206+ROUND(G206*H206,2))</f>
        <v/>
      </c>
      <c r="K206" s="61" t="n"/>
      <c r="L206" s="64">
        <f>IF(A206="","",DATE(YEAR(A206),MONTH(A206),1))</f>
        <v/>
      </c>
      <c r="M206" s="61" t="n"/>
      <c r="N206" s="65" t="n"/>
      <c r="O206" s="62">
        <f>IF(B206="Revenue",G206,0)</f>
        <v/>
      </c>
      <c r="P206" s="62">
        <f>IF(B206="Expense",G206,0)</f>
        <v/>
      </c>
      <c r="Q206" s="61" t="n"/>
    </row>
    <row r="207">
      <c r="A207" s="60" t="n"/>
      <c r="B207" s="61" t="n"/>
      <c r="C207" s="61" t="n"/>
      <c r="D207" s="61" t="n"/>
      <c r="E207" s="61" t="n"/>
      <c r="F207" s="61" t="n"/>
      <c r="G207" s="62" t="n"/>
      <c r="H207" s="63">
        <f>IF(A207="","",Settings!$B$4)</f>
        <v/>
      </c>
      <c r="I207" s="62">
        <f>IF(G207="","",IF(OR(B207="Revenue",K207="Yes"),ROUND(G207*H207,2),0))</f>
        <v/>
      </c>
      <c r="J207" s="62">
        <f>IF(G207="","",G207+ROUND(G207*H207,2))</f>
        <v/>
      </c>
      <c r="K207" s="61" t="n"/>
      <c r="L207" s="64">
        <f>IF(A207="","",DATE(YEAR(A207),MONTH(A207),1))</f>
        <v/>
      </c>
      <c r="M207" s="61" t="n"/>
      <c r="N207" s="65" t="n"/>
      <c r="O207" s="62">
        <f>IF(B207="Revenue",G207,0)</f>
        <v/>
      </c>
      <c r="P207" s="62">
        <f>IF(B207="Expense",G207,0)</f>
        <v/>
      </c>
      <c r="Q207" s="61" t="n"/>
    </row>
    <row r="208">
      <c r="A208" s="60" t="n"/>
      <c r="B208" s="61" t="n"/>
      <c r="C208" s="61" t="n"/>
      <c r="D208" s="61" t="n"/>
      <c r="E208" s="61" t="n"/>
      <c r="F208" s="61" t="n"/>
      <c r="G208" s="62" t="n"/>
      <c r="H208" s="63">
        <f>IF(A208="","",Settings!$B$4)</f>
        <v/>
      </c>
      <c r="I208" s="62">
        <f>IF(G208="","",IF(OR(B208="Revenue",K208="Yes"),ROUND(G208*H208,2),0))</f>
        <v/>
      </c>
      <c r="J208" s="62">
        <f>IF(G208="","",G208+ROUND(G208*H208,2))</f>
        <v/>
      </c>
      <c r="K208" s="61" t="n"/>
      <c r="L208" s="64">
        <f>IF(A208="","",DATE(YEAR(A208),MONTH(A208),1))</f>
        <v/>
      </c>
      <c r="M208" s="61" t="n"/>
      <c r="N208" s="65" t="n"/>
      <c r="O208" s="62">
        <f>IF(B208="Revenue",G208,0)</f>
        <v/>
      </c>
      <c r="P208" s="62">
        <f>IF(B208="Expense",G208,0)</f>
        <v/>
      </c>
      <c r="Q208" s="61" t="n"/>
    </row>
    <row r="209">
      <c r="A209" s="60" t="n"/>
      <c r="B209" s="61" t="n"/>
      <c r="C209" s="61" t="n"/>
      <c r="D209" s="61" t="n"/>
      <c r="E209" s="61" t="n"/>
      <c r="F209" s="61" t="n"/>
      <c r="G209" s="62" t="n"/>
      <c r="H209" s="63">
        <f>IF(A209="","",Settings!$B$4)</f>
        <v/>
      </c>
      <c r="I209" s="62">
        <f>IF(G209="","",IF(OR(B209="Revenue",K209="Yes"),ROUND(G209*H209,2),0))</f>
        <v/>
      </c>
      <c r="J209" s="62">
        <f>IF(G209="","",G209+ROUND(G209*H209,2))</f>
        <v/>
      </c>
      <c r="K209" s="61" t="n"/>
      <c r="L209" s="64">
        <f>IF(A209="","",DATE(YEAR(A209),MONTH(A209),1))</f>
        <v/>
      </c>
      <c r="M209" s="61" t="n"/>
      <c r="N209" s="65" t="n"/>
      <c r="O209" s="62">
        <f>IF(B209="Revenue",G209,0)</f>
        <v/>
      </c>
      <c r="P209" s="62">
        <f>IF(B209="Expense",G209,0)</f>
        <v/>
      </c>
      <c r="Q209" s="61" t="n"/>
    </row>
    <row r="210">
      <c r="A210" s="60" t="n"/>
      <c r="B210" s="61" t="n"/>
      <c r="C210" s="61" t="n"/>
      <c r="D210" s="61" t="n"/>
      <c r="E210" s="61" t="n"/>
      <c r="F210" s="61" t="n"/>
      <c r="G210" s="62" t="n"/>
      <c r="H210" s="63">
        <f>IF(A210="","",Settings!$B$4)</f>
        <v/>
      </c>
      <c r="I210" s="62">
        <f>IF(G210="","",IF(OR(B210="Revenue",K210="Yes"),ROUND(G210*H210,2),0))</f>
        <v/>
      </c>
      <c r="J210" s="62">
        <f>IF(G210="","",G210+ROUND(G210*H210,2))</f>
        <v/>
      </c>
      <c r="K210" s="61" t="n"/>
      <c r="L210" s="64">
        <f>IF(A210="","",DATE(YEAR(A210),MONTH(A210),1))</f>
        <v/>
      </c>
      <c r="M210" s="61" t="n"/>
      <c r="N210" s="65" t="n"/>
      <c r="O210" s="62">
        <f>IF(B210="Revenue",G210,0)</f>
        <v/>
      </c>
      <c r="P210" s="62">
        <f>IF(B210="Expense",G210,0)</f>
        <v/>
      </c>
      <c r="Q210" s="61" t="n"/>
    </row>
    <row r="211">
      <c r="A211" s="60" t="n"/>
      <c r="B211" s="61" t="n"/>
      <c r="C211" s="61" t="n"/>
      <c r="D211" s="61" t="n"/>
      <c r="E211" s="61" t="n"/>
      <c r="F211" s="61" t="n"/>
      <c r="G211" s="62" t="n"/>
      <c r="H211" s="63">
        <f>IF(A211="","",Settings!$B$4)</f>
        <v/>
      </c>
      <c r="I211" s="62">
        <f>IF(G211="","",IF(OR(B211="Revenue",K211="Yes"),ROUND(G211*H211,2),0))</f>
        <v/>
      </c>
      <c r="J211" s="62">
        <f>IF(G211="","",G211+ROUND(G211*H211,2))</f>
        <v/>
      </c>
      <c r="K211" s="61" t="n"/>
      <c r="L211" s="64">
        <f>IF(A211="","",DATE(YEAR(A211),MONTH(A211),1))</f>
        <v/>
      </c>
      <c r="M211" s="61" t="n"/>
      <c r="N211" s="65" t="n"/>
      <c r="O211" s="62">
        <f>IF(B211="Revenue",G211,0)</f>
        <v/>
      </c>
      <c r="P211" s="62">
        <f>IF(B211="Expense",G211,0)</f>
        <v/>
      </c>
      <c r="Q211" s="61" t="n"/>
    </row>
    <row r="212">
      <c r="A212" s="60" t="n"/>
      <c r="B212" s="61" t="n"/>
      <c r="C212" s="61" t="n"/>
      <c r="D212" s="61" t="n"/>
      <c r="E212" s="61" t="n"/>
      <c r="F212" s="61" t="n"/>
      <c r="G212" s="62" t="n"/>
      <c r="H212" s="63">
        <f>IF(A212="","",Settings!$B$4)</f>
        <v/>
      </c>
      <c r="I212" s="62">
        <f>IF(G212="","",IF(OR(B212="Revenue",K212="Yes"),ROUND(G212*H212,2),0))</f>
        <v/>
      </c>
      <c r="J212" s="62">
        <f>IF(G212="","",G212+ROUND(G212*H212,2))</f>
        <v/>
      </c>
      <c r="K212" s="61" t="n"/>
      <c r="L212" s="64">
        <f>IF(A212="","",DATE(YEAR(A212),MONTH(A212),1))</f>
        <v/>
      </c>
      <c r="M212" s="61" t="n"/>
      <c r="N212" s="65" t="n"/>
      <c r="O212" s="62">
        <f>IF(B212="Revenue",G212,0)</f>
        <v/>
      </c>
      <c r="P212" s="62">
        <f>IF(B212="Expense",G212,0)</f>
        <v/>
      </c>
      <c r="Q212" s="61" t="n"/>
    </row>
    <row r="213">
      <c r="A213" s="60" t="n"/>
      <c r="B213" s="61" t="n"/>
      <c r="C213" s="61" t="n"/>
      <c r="D213" s="61" t="n"/>
      <c r="E213" s="61" t="n"/>
      <c r="F213" s="61" t="n"/>
      <c r="G213" s="62" t="n"/>
      <c r="H213" s="63">
        <f>IF(A213="","",Settings!$B$4)</f>
        <v/>
      </c>
      <c r="I213" s="62">
        <f>IF(G213="","",IF(OR(B213="Revenue",K213="Yes"),ROUND(G213*H213,2),0))</f>
        <v/>
      </c>
      <c r="J213" s="62">
        <f>IF(G213="","",G213+ROUND(G213*H213,2))</f>
        <v/>
      </c>
      <c r="K213" s="61" t="n"/>
      <c r="L213" s="64">
        <f>IF(A213="","",DATE(YEAR(A213),MONTH(A213),1))</f>
        <v/>
      </c>
      <c r="M213" s="61" t="n"/>
      <c r="N213" s="65" t="n"/>
      <c r="O213" s="62">
        <f>IF(B213="Revenue",G213,0)</f>
        <v/>
      </c>
      <c r="P213" s="62">
        <f>IF(B213="Expense",G213,0)</f>
        <v/>
      </c>
      <c r="Q213" s="61" t="n"/>
    </row>
    <row r="214">
      <c r="A214" s="60" t="n"/>
      <c r="B214" s="61" t="n"/>
      <c r="C214" s="61" t="n"/>
      <c r="D214" s="61" t="n"/>
      <c r="E214" s="61" t="n"/>
      <c r="F214" s="61" t="n"/>
      <c r="G214" s="62" t="n"/>
      <c r="H214" s="63">
        <f>IF(A214="","",Settings!$B$4)</f>
        <v/>
      </c>
      <c r="I214" s="62">
        <f>IF(G214="","",IF(OR(B214="Revenue",K214="Yes"),ROUND(G214*H214,2),0))</f>
        <v/>
      </c>
      <c r="J214" s="62">
        <f>IF(G214="","",G214+ROUND(G214*H214,2))</f>
        <v/>
      </c>
      <c r="K214" s="61" t="n"/>
      <c r="L214" s="64">
        <f>IF(A214="","",DATE(YEAR(A214),MONTH(A214),1))</f>
        <v/>
      </c>
      <c r="M214" s="61" t="n"/>
      <c r="N214" s="65" t="n"/>
      <c r="O214" s="62">
        <f>IF(B214="Revenue",G214,0)</f>
        <v/>
      </c>
      <c r="P214" s="62">
        <f>IF(B214="Expense",G214,0)</f>
        <v/>
      </c>
      <c r="Q214" s="61" t="n"/>
    </row>
    <row r="215">
      <c r="A215" s="60" t="n"/>
      <c r="B215" s="61" t="n"/>
      <c r="C215" s="61" t="n"/>
      <c r="D215" s="61" t="n"/>
      <c r="E215" s="61" t="n"/>
      <c r="F215" s="61" t="n"/>
      <c r="G215" s="62" t="n"/>
      <c r="H215" s="63">
        <f>IF(A215="","",Settings!$B$4)</f>
        <v/>
      </c>
      <c r="I215" s="62">
        <f>IF(G215="","",IF(OR(B215="Revenue",K215="Yes"),ROUND(G215*H215,2),0))</f>
        <v/>
      </c>
      <c r="J215" s="62">
        <f>IF(G215="","",G215+ROUND(G215*H215,2))</f>
        <v/>
      </c>
      <c r="K215" s="61" t="n"/>
      <c r="L215" s="64">
        <f>IF(A215="","",DATE(YEAR(A215),MONTH(A215),1))</f>
        <v/>
      </c>
      <c r="M215" s="61" t="n"/>
      <c r="N215" s="65" t="n"/>
      <c r="O215" s="62">
        <f>IF(B215="Revenue",G215,0)</f>
        <v/>
      </c>
      <c r="P215" s="62">
        <f>IF(B215="Expense",G215,0)</f>
        <v/>
      </c>
      <c r="Q215" s="61" t="n"/>
    </row>
    <row r="216">
      <c r="A216" s="60" t="n"/>
      <c r="B216" s="61" t="n"/>
      <c r="C216" s="61" t="n"/>
      <c r="D216" s="61" t="n"/>
      <c r="E216" s="61" t="n"/>
      <c r="F216" s="61" t="n"/>
      <c r="G216" s="62" t="n"/>
      <c r="H216" s="63">
        <f>IF(A216="","",Settings!$B$4)</f>
        <v/>
      </c>
      <c r="I216" s="62">
        <f>IF(G216="","",IF(OR(B216="Revenue",K216="Yes"),ROUND(G216*H216,2),0))</f>
        <v/>
      </c>
      <c r="J216" s="62">
        <f>IF(G216="","",G216+ROUND(G216*H216,2))</f>
        <v/>
      </c>
      <c r="K216" s="61" t="n"/>
      <c r="L216" s="64">
        <f>IF(A216="","",DATE(YEAR(A216),MONTH(A216),1))</f>
        <v/>
      </c>
      <c r="M216" s="61" t="n"/>
      <c r="N216" s="65" t="n"/>
      <c r="O216" s="62">
        <f>IF(B216="Revenue",G216,0)</f>
        <v/>
      </c>
      <c r="P216" s="62">
        <f>IF(B216="Expense",G216,0)</f>
        <v/>
      </c>
      <c r="Q216" s="61" t="n"/>
    </row>
    <row r="217">
      <c r="A217" s="60" t="n"/>
      <c r="B217" s="61" t="n"/>
      <c r="C217" s="61" t="n"/>
      <c r="D217" s="61" t="n"/>
      <c r="E217" s="61" t="n"/>
      <c r="F217" s="61" t="n"/>
      <c r="G217" s="62" t="n"/>
      <c r="H217" s="63">
        <f>IF(A217="","",Settings!$B$4)</f>
        <v/>
      </c>
      <c r="I217" s="62">
        <f>IF(G217="","",IF(OR(B217="Revenue",K217="Yes"),ROUND(G217*H217,2),0))</f>
        <v/>
      </c>
      <c r="J217" s="62">
        <f>IF(G217="","",G217+ROUND(G217*H217,2))</f>
        <v/>
      </c>
      <c r="K217" s="61" t="n"/>
      <c r="L217" s="64">
        <f>IF(A217="","",DATE(YEAR(A217),MONTH(A217),1))</f>
        <v/>
      </c>
      <c r="M217" s="61" t="n"/>
      <c r="N217" s="65" t="n"/>
      <c r="O217" s="62">
        <f>IF(B217="Revenue",G217,0)</f>
        <v/>
      </c>
      <c r="P217" s="62">
        <f>IF(B217="Expense",G217,0)</f>
        <v/>
      </c>
      <c r="Q217" s="61" t="n"/>
    </row>
    <row r="218">
      <c r="A218" s="60" t="n"/>
      <c r="B218" s="61" t="n"/>
      <c r="C218" s="61" t="n"/>
      <c r="D218" s="61" t="n"/>
      <c r="E218" s="61" t="n"/>
      <c r="F218" s="61" t="n"/>
      <c r="G218" s="62" t="n"/>
      <c r="H218" s="63">
        <f>IF(A218="","",Settings!$B$4)</f>
        <v/>
      </c>
      <c r="I218" s="62">
        <f>IF(G218="","",IF(OR(B218="Revenue",K218="Yes"),ROUND(G218*H218,2),0))</f>
        <v/>
      </c>
      <c r="J218" s="62">
        <f>IF(G218="","",G218+ROUND(G218*H218,2))</f>
        <v/>
      </c>
      <c r="K218" s="61" t="n"/>
      <c r="L218" s="64">
        <f>IF(A218="","",DATE(YEAR(A218),MONTH(A218),1))</f>
        <v/>
      </c>
      <c r="M218" s="61" t="n"/>
      <c r="N218" s="65" t="n"/>
      <c r="O218" s="62">
        <f>IF(B218="Revenue",G218,0)</f>
        <v/>
      </c>
      <c r="P218" s="62">
        <f>IF(B218="Expense",G218,0)</f>
        <v/>
      </c>
      <c r="Q218" s="61" t="n"/>
    </row>
    <row r="219">
      <c r="A219" s="60" t="n"/>
      <c r="B219" s="61" t="n"/>
      <c r="C219" s="61" t="n"/>
      <c r="D219" s="61" t="n"/>
      <c r="E219" s="61" t="n"/>
      <c r="F219" s="61" t="n"/>
      <c r="G219" s="62" t="n"/>
      <c r="H219" s="63">
        <f>IF(A219="","",Settings!$B$4)</f>
        <v/>
      </c>
      <c r="I219" s="62">
        <f>IF(G219="","",IF(OR(B219="Revenue",K219="Yes"),ROUND(G219*H219,2),0))</f>
        <v/>
      </c>
      <c r="J219" s="62">
        <f>IF(G219="","",G219+ROUND(G219*H219,2))</f>
        <v/>
      </c>
      <c r="K219" s="61" t="n"/>
      <c r="L219" s="64">
        <f>IF(A219="","",DATE(YEAR(A219),MONTH(A219),1))</f>
        <v/>
      </c>
      <c r="M219" s="61" t="n"/>
      <c r="N219" s="65" t="n"/>
      <c r="O219" s="62">
        <f>IF(B219="Revenue",G219,0)</f>
        <v/>
      </c>
      <c r="P219" s="62">
        <f>IF(B219="Expense",G219,0)</f>
        <v/>
      </c>
      <c r="Q219" s="61" t="n"/>
    </row>
    <row r="220">
      <c r="A220" s="60" t="n"/>
      <c r="B220" s="61" t="n"/>
      <c r="C220" s="61" t="n"/>
      <c r="D220" s="61" t="n"/>
      <c r="E220" s="61" t="n"/>
      <c r="F220" s="61" t="n"/>
      <c r="G220" s="62" t="n"/>
      <c r="H220" s="63">
        <f>IF(A220="","",Settings!$B$4)</f>
        <v/>
      </c>
      <c r="I220" s="62">
        <f>IF(G220="","",IF(OR(B220="Revenue",K220="Yes"),ROUND(G220*H220,2),0))</f>
        <v/>
      </c>
      <c r="J220" s="62">
        <f>IF(G220="","",G220+ROUND(G220*H220,2))</f>
        <v/>
      </c>
      <c r="K220" s="61" t="n"/>
      <c r="L220" s="64">
        <f>IF(A220="","",DATE(YEAR(A220),MONTH(A220),1))</f>
        <v/>
      </c>
      <c r="M220" s="61" t="n"/>
      <c r="N220" s="65" t="n"/>
      <c r="O220" s="62">
        <f>IF(B220="Revenue",G220,0)</f>
        <v/>
      </c>
      <c r="P220" s="62">
        <f>IF(B220="Expense",G220,0)</f>
        <v/>
      </c>
      <c r="Q220" s="61" t="n"/>
    </row>
    <row r="221">
      <c r="A221" s="60" t="n"/>
      <c r="B221" s="61" t="n"/>
      <c r="C221" s="61" t="n"/>
      <c r="D221" s="61" t="n"/>
      <c r="E221" s="61" t="n"/>
      <c r="F221" s="61" t="n"/>
      <c r="G221" s="62" t="n"/>
      <c r="H221" s="63">
        <f>IF(A221="","",Settings!$B$4)</f>
        <v/>
      </c>
      <c r="I221" s="62">
        <f>IF(G221="","",IF(OR(B221="Revenue",K221="Yes"),ROUND(G221*H221,2),0))</f>
        <v/>
      </c>
      <c r="J221" s="62">
        <f>IF(G221="","",G221+ROUND(G221*H221,2))</f>
        <v/>
      </c>
      <c r="K221" s="61" t="n"/>
      <c r="L221" s="64">
        <f>IF(A221="","",DATE(YEAR(A221),MONTH(A221),1))</f>
        <v/>
      </c>
      <c r="M221" s="61" t="n"/>
      <c r="N221" s="65" t="n"/>
      <c r="O221" s="62">
        <f>IF(B221="Revenue",G221,0)</f>
        <v/>
      </c>
      <c r="P221" s="62">
        <f>IF(B221="Expense",G221,0)</f>
        <v/>
      </c>
      <c r="Q221" s="61" t="n"/>
    </row>
    <row r="222">
      <c r="A222" s="60" t="n"/>
      <c r="B222" s="61" t="n"/>
      <c r="C222" s="61" t="n"/>
      <c r="D222" s="61" t="n"/>
      <c r="E222" s="61" t="n"/>
      <c r="F222" s="61" t="n"/>
      <c r="G222" s="62" t="n"/>
      <c r="H222" s="63">
        <f>IF(A222="","",Settings!$B$4)</f>
        <v/>
      </c>
      <c r="I222" s="62">
        <f>IF(G222="","",IF(OR(B222="Revenue",K222="Yes"),ROUND(G222*H222,2),0))</f>
        <v/>
      </c>
      <c r="J222" s="62">
        <f>IF(G222="","",G222+ROUND(G222*H222,2))</f>
        <v/>
      </c>
      <c r="K222" s="61" t="n"/>
      <c r="L222" s="64">
        <f>IF(A222="","",DATE(YEAR(A222),MONTH(A222),1))</f>
        <v/>
      </c>
      <c r="M222" s="61" t="n"/>
      <c r="N222" s="65" t="n"/>
      <c r="O222" s="62">
        <f>IF(B222="Revenue",G222,0)</f>
        <v/>
      </c>
      <c r="P222" s="62">
        <f>IF(B222="Expense",G222,0)</f>
        <v/>
      </c>
      <c r="Q222" s="61" t="n"/>
    </row>
    <row r="223">
      <c r="A223" s="60" t="n"/>
      <c r="B223" s="61" t="n"/>
      <c r="C223" s="61" t="n"/>
      <c r="D223" s="61" t="n"/>
      <c r="E223" s="61" t="n"/>
      <c r="F223" s="61" t="n"/>
      <c r="G223" s="62" t="n"/>
      <c r="H223" s="63">
        <f>IF(A223="","",Settings!$B$4)</f>
        <v/>
      </c>
      <c r="I223" s="62">
        <f>IF(G223="","",IF(OR(B223="Revenue",K223="Yes"),ROUND(G223*H223,2),0))</f>
        <v/>
      </c>
      <c r="J223" s="62">
        <f>IF(G223="","",G223+ROUND(G223*H223,2))</f>
        <v/>
      </c>
      <c r="K223" s="61" t="n"/>
      <c r="L223" s="64">
        <f>IF(A223="","",DATE(YEAR(A223),MONTH(A223),1))</f>
        <v/>
      </c>
      <c r="M223" s="61" t="n"/>
      <c r="N223" s="65" t="n"/>
      <c r="O223" s="62">
        <f>IF(B223="Revenue",G223,0)</f>
        <v/>
      </c>
      <c r="P223" s="62">
        <f>IF(B223="Expense",G223,0)</f>
        <v/>
      </c>
      <c r="Q223" s="61" t="n"/>
    </row>
    <row r="224">
      <c r="A224" s="60" t="n"/>
      <c r="B224" s="61" t="n"/>
      <c r="C224" s="61" t="n"/>
      <c r="D224" s="61" t="n"/>
      <c r="E224" s="61" t="n"/>
      <c r="F224" s="61" t="n"/>
      <c r="G224" s="62" t="n"/>
      <c r="H224" s="63">
        <f>IF(A224="","",Settings!$B$4)</f>
        <v/>
      </c>
      <c r="I224" s="62">
        <f>IF(G224="","",IF(OR(B224="Revenue",K224="Yes"),ROUND(G224*H224,2),0))</f>
        <v/>
      </c>
      <c r="J224" s="62">
        <f>IF(G224="","",G224+ROUND(G224*H224,2))</f>
        <v/>
      </c>
      <c r="K224" s="61" t="n"/>
      <c r="L224" s="64">
        <f>IF(A224="","",DATE(YEAR(A224),MONTH(A224),1))</f>
        <v/>
      </c>
      <c r="M224" s="61" t="n"/>
      <c r="N224" s="65" t="n"/>
      <c r="O224" s="62">
        <f>IF(B224="Revenue",G224,0)</f>
        <v/>
      </c>
      <c r="P224" s="62">
        <f>IF(B224="Expense",G224,0)</f>
        <v/>
      </c>
      <c r="Q224" s="61" t="n"/>
    </row>
    <row r="225">
      <c r="A225" s="60" t="n"/>
      <c r="B225" s="61" t="n"/>
      <c r="C225" s="61" t="n"/>
      <c r="D225" s="61" t="n"/>
      <c r="E225" s="61" t="n"/>
      <c r="F225" s="61" t="n"/>
      <c r="G225" s="62" t="n"/>
      <c r="H225" s="63">
        <f>IF(A225="","",Settings!$B$4)</f>
        <v/>
      </c>
      <c r="I225" s="62">
        <f>IF(G225="","",IF(OR(B225="Revenue",K225="Yes"),ROUND(G225*H225,2),0))</f>
        <v/>
      </c>
      <c r="J225" s="62">
        <f>IF(G225="","",G225+ROUND(G225*H225,2))</f>
        <v/>
      </c>
      <c r="K225" s="61" t="n"/>
      <c r="L225" s="64">
        <f>IF(A225="","",DATE(YEAR(A225),MONTH(A225),1))</f>
        <v/>
      </c>
      <c r="M225" s="61" t="n"/>
      <c r="N225" s="65" t="n"/>
      <c r="O225" s="62">
        <f>IF(B225="Revenue",G225,0)</f>
        <v/>
      </c>
      <c r="P225" s="62">
        <f>IF(B225="Expense",G225,0)</f>
        <v/>
      </c>
      <c r="Q225" s="61" t="n"/>
    </row>
    <row r="226">
      <c r="A226" s="60" t="n"/>
      <c r="B226" s="61" t="n"/>
      <c r="C226" s="61" t="n"/>
      <c r="D226" s="61" t="n"/>
      <c r="E226" s="61" t="n"/>
      <c r="F226" s="61" t="n"/>
      <c r="G226" s="62" t="n"/>
      <c r="H226" s="63">
        <f>IF(A226="","",Settings!$B$4)</f>
        <v/>
      </c>
      <c r="I226" s="62">
        <f>IF(G226="","",IF(OR(B226="Revenue",K226="Yes"),ROUND(G226*H226,2),0))</f>
        <v/>
      </c>
      <c r="J226" s="62">
        <f>IF(G226="","",G226+ROUND(G226*H226,2))</f>
        <v/>
      </c>
      <c r="K226" s="61" t="n"/>
      <c r="L226" s="64">
        <f>IF(A226="","",DATE(YEAR(A226),MONTH(A226),1))</f>
        <v/>
      </c>
      <c r="M226" s="61" t="n"/>
      <c r="N226" s="65" t="n"/>
      <c r="O226" s="62">
        <f>IF(B226="Revenue",G226,0)</f>
        <v/>
      </c>
      <c r="P226" s="62">
        <f>IF(B226="Expense",G226,0)</f>
        <v/>
      </c>
      <c r="Q226" s="61" t="n"/>
    </row>
    <row r="227">
      <c r="A227" s="60" t="n"/>
      <c r="B227" s="61" t="n"/>
      <c r="C227" s="61" t="n"/>
      <c r="D227" s="61" t="n"/>
      <c r="E227" s="61" t="n"/>
      <c r="F227" s="61" t="n"/>
      <c r="G227" s="62" t="n"/>
      <c r="H227" s="63">
        <f>IF(A227="","",Settings!$B$4)</f>
        <v/>
      </c>
      <c r="I227" s="62">
        <f>IF(G227="","",IF(OR(B227="Revenue",K227="Yes"),ROUND(G227*H227,2),0))</f>
        <v/>
      </c>
      <c r="J227" s="62">
        <f>IF(G227="","",G227+ROUND(G227*H227,2))</f>
        <v/>
      </c>
      <c r="K227" s="61" t="n"/>
      <c r="L227" s="64">
        <f>IF(A227="","",DATE(YEAR(A227),MONTH(A227),1))</f>
        <v/>
      </c>
      <c r="M227" s="61" t="n"/>
      <c r="N227" s="65" t="n"/>
      <c r="O227" s="62">
        <f>IF(B227="Revenue",G227,0)</f>
        <v/>
      </c>
      <c r="P227" s="62">
        <f>IF(B227="Expense",G227,0)</f>
        <v/>
      </c>
      <c r="Q227" s="61" t="n"/>
    </row>
    <row r="228">
      <c r="A228" s="60" t="n"/>
      <c r="B228" s="61" t="n"/>
      <c r="C228" s="61" t="n"/>
      <c r="D228" s="61" t="n"/>
      <c r="E228" s="61" t="n"/>
      <c r="F228" s="61" t="n"/>
      <c r="G228" s="62" t="n"/>
      <c r="H228" s="63">
        <f>IF(A228="","",Settings!$B$4)</f>
        <v/>
      </c>
      <c r="I228" s="62">
        <f>IF(G228="","",IF(OR(B228="Revenue",K228="Yes"),ROUND(G228*H228,2),0))</f>
        <v/>
      </c>
      <c r="J228" s="62">
        <f>IF(G228="","",G228+ROUND(G228*H228,2))</f>
        <v/>
      </c>
      <c r="K228" s="61" t="n"/>
      <c r="L228" s="64">
        <f>IF(A228="","",DATE(YEAR(A228),MONTH(A228),1))</f>
        <v/>
      </c>
      <c r="M228" s="61" t="n"/>
      <c r="N228" s="65" t="n"/>
      <c r="O228" s="62">
        <f>IF(B228="Revenue",G228,0)</f>
        <v/>
      </c>
      <c r="P228" s="62">
        <f>IF(B228="Expense",G228,0)</f>
        <v/>
      </c>
      <c r="Q228" s="61" t="n"/>
    </row>
    <row r="229">
      <c r="A229" s="60" t="n"/>
      <c r="B229" s="61" t="n"/>
      <c r="C229" s="61" t="n"/>
      <c r="D229" s="61" t="n"/>
      <c r="E229" s="61" t="n"/>
      <c r="F229" s="61" t="n"/>
      <c r="G229" s="62" t="n"/>
      <c r="H229" s="63">
        <f>IF(A229="","",Settings!$B$4)</f>
        <v/>
      </c>
      <c r="I229" s="62">
        <f>IF(G229="","",IF(OR(B229="Revenue",K229="Yes"),ROUND(G229*H229,2),0))</f>
        <v/>
      </c>
      <c r="J229" s="62">
        <f>IF(G229="","",G229+ROUND(G229*H229,2))</f>
        <v/>
      </c>
      <c r="K229" s="61" t="n"/>
      <c r="L229" s="64">
        <f>IF(A229="","",DATE(YEAR(A229),MONTH(A229),1))</f>
        <v/>
      </c>
      <c r="M229" s="61" t="n"/>
      <c r="N229" s="65" t="n"/>
      <c r="O229" s="62">
        <f>IF(B229="Revenue",G229,0)</f>
        <v/>
      </c>
      <c r="P229" s="62">
        <f>IF(B229="Expense",G229,0)</f>
        <v/>
      </c>
      <c r="Q229" s="61" t="n"/>
    </row>
    <row r="230">
      <c r="A230" s="60" t="n"/>
      <c r="B230" s="61" t="n"/>
      <c r="C230" s="61" t="n"/>
      <c r="D230" s="61" t="n"/>
      <c r="E230" s="61" t="n"/>
      <c r="F230" s="61" t="n"/>
      <c r="G230" s="62" t="n"/>
      <c r="H230" s="63">
        <f>IF(A230="","",Settings!$B$4)</f>
        <v/>
      </c>
      <c r="I230" s="62">
        <f>IF(G230="","",IF(OR(B230="Revenue",K230="Yes"),ROUND(G230*H230,2),0))</f>
        <v/>
      </c>
      <c r="J230" s="62">
        <f>IF(G230="","",G230+ROUND(G230*H230,2))</f>
        <v/>
      </c>
      <c r="K230" s="61" t="n"/>
      <c r="L230" s="64">
        <f>IF(A230="","",DATE(YEAR(A230),MONTH(A230),1))</f>
        <v/>
      </c>
      <c r="M230" s="61" t="n"/>
      <c r="N230" s="65" t="n"/>
      <c r="O230" s="62">
        <f>IF(B230="Revenue",G230,0)</f>
        <v/>
      </c>
      <c r="P230" s="62">
        <f>IF(B230="Expense",G230,0)</f>
        <v/>
      </c>
      <c r="Q230" s="61" t="n"/>
    </row>
    <row r="231">
      <c r="A231" s="60" t="n"/>
      <c r="B231" s="61" t="n"/>
      <c r="C231" s="61" t="n"/>
      <c r="D231" s="61" t="n"/>
      <c r="E231" s="61" t="n"/>
      <c r="F231" s="61" t="n"/>
      <c r="G231" s="62" t="n"/>
      <c r="H231" s="63">
        <f>IF(A231="","",Settings!$B$4)</f>
        <v/>
      </c>
      <c r="I231" s="62">
        <f>IF(G231="","",IF(OR(B231="Revenue",K231="Yes"),ROUND(G231*H231,2),0))</f>
        <v/>
      </c>
      <c r="J231" s="62">
        <f>IF(G231="","",G231+ROUND(G231*H231,2))</f>
        <v/>
      </c>
      <c r="K231" s="61" t="n"/>
      <c r="L231" s="64">
        <f>IF(A231="","",DATE(YEAR(A231),MONTH(A231),1))</f>
        <v/>
      </c>
      <c r="M231" s="61" t="n"/>
      <c r="N231" s="65" t="n"/>
      <c r="O231" s="62">
        <f>IF(B231="Revenue",G231,0)</f>
        <v/>
      </c>
      <c r="P231" s="62">
        <f>IF(B231="Expense",G231,0)</f>
        <v/>
      </c>
      <c r="Q231" s="61" t="n"/>
    </row>
    <row r="232">
      <c r="A232" s="60" t="n"/>
      <c r="B232" s="61" t="n"/>
      <c r="C232" s="61" t="n"/>
      <c r="D232" s="61" t="n"/>
      <c r="E232" s="61" t="n"/>
      <c r="F232" s="61" t="n"/>
      <c r="G232" s="62" t="n"/>
      <c r="H232" s="63">
        <f>IF(A232="","",Settings!$B$4)</f>
        <v/>
      </c>
      <c r="I232" s="62">
        <f>IF(G232="","",IF(OR(B232="Revenue",K232="Yes"),ROUND(G232*H232,2),0))</f>
        <v/>
      </c>
      <c r="J232" s="62">
        <f>IF(G232="","",G232+ROUND(G232*H232,2))</f>
        <v/>
      </c>
      <c r="K232" s="61" t="n"/>
      <c r="L232" s="64">
        <f>IF(A232="","",DATE(YEAR(A232),MONTH(A232),1))</f>
        <v/>
      </c>
      <c r="M232" s="61" t="n"/>
      <c r="N232" s="65" t="n"/>
      <c r="O232" s="62">
        <f>IF(B232="Revenue",G232,0)</f>
        <v/>
      </c>
      <c r="P232" s="62">
        <f>IF(B232="Expense",G232,0)</f>
        <v/>
      </c>
      <c r="Q232" s="61" t="n"/>
    </row>
    <row r="234">
      <c r="A234" s="58" t="inlineStr">
        <is>
          <t>August 2026 / เดือน Aug</t>
        </is>
      </c>
    </row>
    <row r="235">
      <c r="A235" s="59" t="inlineStr">
        <is>
          <t>วันที่</t>
        </is>
      </c>
      <c r="B235" s="59" t="inlineStr">
        <is>
          <t>ประเภท</t>
        </is>
      </c>
      <c r="C235" s="59" t="inlineStr">
        <is>
          <t>เลขที่เอกสาร</t>
        </is>
      </c>
      <c r="D235" s="59" t="inlineStr">
        <is>
          <t>ลูกค้า/ผู้ขาย</t>
        </is>
      </c>
      <c r="E235" s="59" t="inlineStr">
        <is>
          <t>รายละเอียด</t>
        </is>
      </c>
      <c r="F235" s="59" t="inlineStr">
        <is>
          <t>หมวด</t>
        </is>
      </c>
      <c r="G235" s="59" t="inlineStr">
        <is>
          <t>ยอดก่อน VAT</t>
        </is>
      </c>
      <c r="H235" s="59" t="inlineStr">
        <is>
          <t>อัตรา VAT</t>
        </is>
      </c>
      <c r="I235" s="59" t="inlineStr">
        <is>
          <t>VAT</t>
        </is>
      </c>
      <c r="J235" s="59" t="inlineStr">
        <is>
          <t>ยอดรวม</t>
        </is>
      </c>
      <c r="K235" s="59" t="inlineStr">
        <is>
          <t>รับเงิน/ขอคืน VAT?</t>
        </is>
      </c>
      <c r="L235" s="59" t="inlineStr">
        <is>
          <t>เดือน</t>
        </is>
      </c>
      <c r="M235" s="59" t="inlineStr">
        <is>
          <t>ไฟล์เอกสาร</t>
        </is>
      </c>
      <c r="N235" s="59" t="inlineStr">
        <is>
          <t>OCR Confidence</t>
        </is>
      </c>
      <c r="O235" s="59" t="inlineStr">
        <is>
          <t>รายรับก่อน VAT</t>
        </is>
      </c>
      <c r="P235" s="59" t="inlineStr">
        <is>
          <t>ค่าใช้จ่ายก่อน VAT</t>
        </is>
      </c>
      <c r="Q235" s="59" t="inlineStr">
        <is>
          <t>หมายเหตุ</t>
        </is>
      </c>
      <c r="R235" s="74" t="inlineStr">
        <is>
          <t>ประเภทเอกสาร</t>
        </is>
      </c>
    </row>
    <row r="236">
      <c r="A236" s="60" t="n"/>
      <c r="B236" s="61" t="n"/>
      <c r="C236" s="61" t="n"/>
      <c r="D236" s="61" t="n"/>
      <c r="E236" s="61" t="n"/>
      <c r="F236" s="61" t="n"/>
      <c r="G236" s="62" t="n"/>
      <c r="H236" s="63">
        <f>IF(A236="","",Settings!$B$4)</f>
        <v/>
      </c>
      <c r="I236" s="62">
        <f>IF(G236="","",IF(OR(B236="Revenue",K236="Yes"),ROUND(G236*H236,2),0))</f>
        <v/>
      </c>
      <c r="J236" s="62">
        <f>IF(G236="","",G236+ROUND(G236*H236,2))</f>
        <v/>
      </c>
      <c r="K236" s="61" t="n"/>
      <c r="L236" s="64">
        <f>IF(A236="","",DATE(YEAR(A236),MONTH(A236),1))</f>
        <v/>
      </c>
      <c r="M236" s="61" t="n"/>
      <c r="N236" s="65" t="n"/>
      <c r="O236" s="62">
        <f>IF(B236="Revenue",G236,0)</f>
        <v/>
      </c>
      <c r="P236" s="62">
        <f>IF(B236="Expense",G236,0)</f>
        <v/>
      </c>
      <c r="Q236" s="61" t="n"/>
    </row>
    <row r="237">
      <c r="A237" s="60" t="n"/>
      <c r="B237" s="61" t="n"/>
      <c r="C237" s="61" t="n"/>
      <c r="D237" s="61" t="n"/>
      <c r="E237" s="61" t="n"/>
      <c r="F237" s="61" t="n"/>
      <c r="G237" s="62" t="n"/>
      <c r="H237" s="63">
        <f>IF(A237="","",Settings!$B$4)</f>
        <v/>
      </c>
      <c r="I237" s="62">
        <f>IF(G237="","",IF(OR(B237="Revenue",K237="Yes"),ROUND(G237*H237,2),0))</f>
        <v/>
      </c>
      <c r="J237" s="62">
        <f>IF(G237="","",G237+ROUND(G237*H237,2))</f>
        <v/>
      </c>
      <c r="K237" s="61" t="n"/>
      <c r="L237" s="64">
        <f>IF(A237="","",DATE(YEAR(A237),MONTH(A237),1))</f>
        <v/>
      </c>
      <c r="M237" s="61" t="n"/>
      <c r="N237" s="65" t="n"/>
      <c r="O237" s="62">
        <f>IF(B237="Revenue",G237,0)</f>
        <v/>
      </c>
      <c r="P237" s="62">
        <f>IF(B237="Expense",G237,0)</f>
        <v/>
      </c>
      <c r="Q237" s="61" t="n"/>
    </row>
    <row r="238">
      <c r="A238" s="60" t="n"/>
      <c r="B238" s="61" t="n"/>
      <c r="C238" s="61" t="n"/>
      <c r="D238" s="61" t="n"/>
      <c r="E238" s="61" t="n"/>
      <c r="F238" s="61" t="n"/>
      <c r="G238" s="62" t="n"/>
      <c r="H238" s="63">
        <f>IF(A238="","",Settings!$B$4)</f>
        <v/>
      </c>
      <c r="I238" s="62">
        <f>IF(G238="","",IF(OR(B238="Revenue",K238="Yes"),ROUND(G238*H238,2),0))</f>
        <v/>
      </c>
      <c r="J238" s="62">
        <f>IF(G238="","",G238+ROUND(G238*H238,2))</f>
        <v/>
      </c>
      <c r="K238" s="61" t="n"/>
      <c r="L238" s="64">
        <f>IF(A238="","",DATE(YEAR(A238),MONTH(A238),1))</f>
        <v/>
      </c>
      <c r="M238" s="61" t="n"/>
      <c r="N238" s="65" t="n"/>
      <c r="O238" s="62">
        <f>IF(B238="Revenue",G238,0)</f>
        <v/>
      </c>
      <c r="P238" s="62">
        <f>IF(B238="Expense",G238,0)</f>
        <v/>
      </c>
      <c r="Q238" s="61" t="n"/>
    </row>
    <row r="239">
      <c r="A239" s="60" t="n"/>
      <c r="B239" s="61" t="n"/>
      <c r="C239" s="61" t="n"/>
      <c r="D239" s="61" t="n"/>
      <c r="E239" s="61" t="n"/>
      <c r="F239" s="61" t="n"/>
      <c r="G239" s="62" t="n"/>
      <c r="H239" s="63">
        <f>IF(A239="","",Settings!$B$4)</f>
        <v/>
      </c>
      <c r="I239" s="62">
        <f>IF(G239="","",IF(OR(B239="Revenue",K239="Yes"),ROUND(G239*H239,2),0))</f>
        <v/>
      </c>
      <c r="J239" s="62">
        <f>IF(G239="","",G239+ROUND(G239*H239,2))</f>
        <v/>
      </c>
      <c r="K239" s="61" t="n"/>
      <c r="L239" s="64">
        <f>IF(A239="","",DATE(YEAR(A239),MONTH(A239),1))</f>
        <v/>
      </c>
      <c r="M239" s="61" t="n"/>
      <c r="N239" s="65" t="n"/>
      <c r="O239" s="62">
        <f>IF(B239="Revenue",G239,0)</f>
        <v/>
      </c>
      <c r="P239" s="62">
        <f>IF(B239="Expense",G239,0)</f>
        <v/>
      </c>
      <c r="Q239" s="61" t="n"/>
    </row>
    <row r="240">
      <c r="A240" s="60" t="n"/>
      <c r="B240" s="61" t="n"/>
      <c r="C240" s="61" t="n"/>
      <c r="D240" s="61" t="n"/>
      <c r="E240" s="61" t="n"/>
      <c r="F240" s="61" t="n"/>
      <c r="G240" s="62" t="n"/>
      <c r="H240" s="63">
        <f>IF(A240="","",Settings!$B$4)</f>
        <v/>
      </c>
      <c r="I240" s="62">
        <f>IF(G240="","",IF(OR(B240="Revenue",K240="Yes"),ROUND(G240*H240,2),0))</f>
        <v/>
      </c>
      <c r="J240" s="62">
        <f>IF(G240="","",G240+ROUND(G240*H240,2))</f>
        <v/>
      </c>
      <c r="K240" s="61" t="n"/>
      <c r="L240" s="64">
        <f>IF(A240="","",DATE(YEAR(A240),MONTH(A240),1))</f>
        <v/>
      </c>
      <c r="M240" s="61" t="n"/>
      <c r="N240" s="65" t="n"/>
      <c r="O240" s="62">
        <f>IF(B240="Revenue",G240,0)</f>
        <v/>
      </c>
      <c r="P240" s="62">
        <f>IF(B240="Expense",G240,0)</f>
        <v/>
      </c>
      <c r="Q240" s="61" t="n"/>
    </row>
    <row r="241">
      <c r="A241" s="60" t="n"/>
      <c r="B241" s="61" t="n"/>
      <c r="C241" s="61" t="n"/>
      <c r="D241" s="61" t="n"/>
      <c r="E241" s="61" t="n"/>
      <c r="F241" s="61" t="n"/>
      <c r="G241" s="62" t="n"/>
      <c r="H241" s="63">
        <f>IF(A241="","",Settings!$B$4)</f>
        <v/>
      </c>
      <c r="I241" s="62">
        <f>IF(G241="","",IF(OR(B241="Revenue",K241="Yes"),ROUND(G241*H241,2),0))</f>
        <v/>
      </c>
      <c r="J241" s="62">
        <f>IF(G241="","",G241+ROUND(G241*H241,2))</f>
        <v/>
      </c>
      <c r="K241" s="61" t="n"/>
      <c r="L241" s="64">
        <f>IF(A241="","",DATE(YEAR(A241),MONTH(A241),1))</f>
        <v/>
      </c>
      <c r="M241" s="61" t="n"/>
      <c r="N241" s="65" t="n"/>
      <c r="O241" s="62">
        <f>IF(B241="Revenue",G241,0)</f>
        <v/>
      </c>
      <c r="P241" s="62">
        <f>IF(B241="Expense",G241,0)</f>
        <v/>
      </c>
      <c r="Q241" s="61" t="n"/>
    </row>
    <row r="242">
      <c r="A242" s="60" t="n"/>
      <c r="B242" s="61" t="n"/>
      <c r="C242" s="61" t="n"/>
      <c r="D242" s="61" t="n"/>
      <c r="E242" s="61" t="n"/>
      <c r="F242" s="61" t="n"/>
      <c r="G242" s="62" t="n"/>
      <c r="H242" s="63">
        <f>IF(A242="","",Settings!$B$4)</f>
        <v/>
      </c>
      <c r="I242" s="62">
        <f>IF(G242="","",IF(OR(B242="Revenue",K242="Yes"),ROUND(G242*H242,2),0))</f>
        <v/>
      </c>
      <c r="J242" s="62">
        <f>IF(G242="","",G242+ROUND(G242*H242,2))</f>
        <v/>
      </c>
      <c r="K242" s="61" t="n"/>
      <c r="L242" s="64">
        <f>IF(A242="","",DATE(YEAR(A242),MONTH(A242),1))</f>
        <v/>
      </c>
      <c r="M242" s="61" t="n"/>
      <c r="N242" s="65" t="n"/>
      <c r="O242" s="62">
        <f>IF(B242="Revenue",G242,0)</f>
        <v/>
      </c>
      <c r="P242" s="62">
        <f>IF(B242="Expense",G242,0)</f>
        <v/>
      </c>
      <c r="Q242" s="61" t="n"/>
    </row>
    <row r="243">
      <c r="A243" s="60" t="n"/>
      <c r="B243" s="61" t="n"/>
      <c r="C243" s="61" t="n"/>
      <c r="D243" s="61" t="n"/>
      <c r="E243" s="61" t="n"/>
      <c r="F243" s="61" t="n"/>
      <c r="G243" s="62" t="n"/>
      <c r="H243" s="63">
        <f>IF(A243="","",Settings!$B$4)</f>
        <v/>
      </c>
      <c r="I243" s="62">
        <f>IF(G243="","",IF(OR(B243="Revenue",K243="Yes"),ROUND(G243*H243,2),0))</f>
        <v/>
      </c>
      <c r="J243" s="62">
        <f>IF(G243="","",G243+ROUND(G243*H243,2))</f>
        <v/>
      </c>
      <c r="K243" s="61" t="n"/>
      <c r="L243" s="64">
        <f>IF(A243="","",DATE(YEAR(A243),MONTH(A243),1))</f>
        <v/>
      </c>
      <c r="M243" s="61" t="n"/>
      <c r="N243" s="65" t="n"/>
      <c r="O243" s="62">
        <f>IF(B243="Revenue",G243,0)</f>
        <v/>
      </c>
      <c r="P243" s="62">
        <f>IF(B243="Expense",G243,0)</f>
        <v/>
      </c>
      <c r="Q243" s="61" t="n"/>
    </row>
    <row r="244">
      <c r="A244" s="60" t="n"/>
      <c r="B244" s="61" t="n"/>
      <c r="C244" s="61" t="n"/>
      <c r="D244" s="61" t="n"/>
      <c r="E244" s="61" t="n"/>
      <c r="F244" s="61" t="n"/>
      <c r="G244" s="62" t="n"/>
      <c r="H244" s="63">
        <f>IF(A244="","",Settings!$B$4)</f>
        <v/>
      </c>
      <c r="I244" s="62">
        <f>IF(G244="","",IF(OR(B244="Revenue",K244="Yes"),ROUND(G244*H244,2),0))</f>
        <v/>
      </c>
      <c r="J244" s="62">
        <f>IF(G244="","",G244+ROUND(G244*H244,2))</f>
        <v/>
      </c>
      <c r="K244" s="61" t="n"/>
      <c r="L244" s="64">
        <f>IF(A244="","",DATE(YEAR(A244),MONTH(A244),1))</f>
        <v/>
      </c>
      <c r="M244" s="61" t="n"/>
      <c r="N244" s="65" t="n"/>
      <c r="O244" s="62">
        <f>IF(B244="Revenue",G244,0)</f>
        <v/>
      </c>
      <c r="P244" s="62">
        <f>IF(B244="Expense",G244,0)</f>
        <v/>
      </c>
      <c r="Q244" s="61" t="n"/>
    </row>
    <row r="245">
      <c r="A245" s="60" t="n"/>
      <c r="B245" s="61" t="n"/>
      <c r="C245" s="61" t="n"/>
      <c r="D245" s="61" t="n"/>
      <c r="E245" s="61" t="n"/>
      <c r="F245" s="61" t="n"/>
      <c r="G245" s="62" t="n"/>
      <c r="H245" s="63">
        <f>IF(A245="","",Settings!$B$4)</f>
        <v/>
      </c>
      <c r="I245" s="62">
        <f>IF(G245="","",IF(OR(B245="Revenue",K245="Yes"),ROUND(G245*H245,2),0))</f>
        <v/>
      </c>
      <c r="J245" s="62">
        <f>IF(G245="","",G245+ROUND(G245*H245,2))</f>
        <v/>
      </c>
      <c r="K245" s="61" t="n"/>
      <c r="L245" s="64">
        <f>IF(A245="","",DATE(YEAR(A245),MONTH(A245),1))</f>
        <v/>
      </c>
      <c r="M245" s="61" t="n"/>
      <c r="N245" s="65" t="n"/>
      <c r="O245" s="62">
        <f>IF(B245="Revenue",G245,0)</f>
        <v/>
      </c>
      <c r="P245" s="62">
        <f>IF(B245="Expense",G245,0)</f>
        <v/>
      </c>
      <c r="Q245" s="61" t="n"/>
    </row>
    <row r="246">
      <c r="A246" s="60" t="n"/>
      <c r="B246" s="61" t="n"/>
      <c r="C246" s="61" t="n"/>
      <c r="D246" s="61" t="n"/>
      <c r="E246" s="61" t="n"/>
      <c r="F246" s="61" t="n"/>
      <c r="G246" s="62" t="n"/>
      <c r="H246" s="63">
        <f>IF(A246="","",Settings!$B$4)</f>
        <v/>
      </c>
      <c r="I246" s="62">
        <f>IF(G246="","",IF(OR(B246="Revenue",K246="Yes"),ROUND(G246*H246,2),0))</f>
        <v/>
      </c>
      <c r="J246" s="62">
        <f>IF(G246="","",G246+ROUND(G246*H246,2))</f>
        <v/>
      </c>
      <c r="K246" s="61" t="n"/>
      <c r="L246" s="64">
        <f>IF(A246="","",DATE(YEAR(A246),MONTH(A246),1))</f>
        <v/>
      </c>
      <c r="M246" s="61" t="n"/>
      <c r="N246" s="65" t="n"/>
      <c r="O246" s="62">
        <f>IF(B246="Revenue",G246,0)</f>
        <v/>
      </c>
      <c r="P246" s="62">
        <f>IF(B246="Expense",G246,0)</f>
        <v/>
      </c>
      <c r="Q246" s="61" t="n"/>
    </row>
    <row r="247">
      <c r="A247" s="60" t="n"/>
      <c r="B247" s="61" t="n"/>
      <c r="C247" s="61" t="n"/>
      <c r="D247" s="61" t="n"/>
      <c r="E247" s="61" t="n"/>
      <c r="F247" s="61" t="n"/>
      <c r="G247" s="62" t="n"/>
      <c r="H247" s="63">
        <f>IF(A247="","",Settings!$B$4)</f>
        <v/>
      </c>
      <c r="I247" s="62">
        <f>IF(G247="","",IF(OR(B247="Revenue",K247="Yes"),ROUND(G247*H247,2),0))</f>
        <v/>
      </c>
      <c r="J247" s="62">
        <f>IF(G247="","",G247+ROUND(G247*H247,2))</f>
        <v/>
      </c>
      <c r="K247" s="61" t="n"/>
      <c r="L247" s="64">
        <f>IF(A247="","",DATE(YEAR(A247),MONTH(A247),1))</f>
        <v/>
      </c>
      <c r="M247" s="61" t="n"/>
      <c r="N247" s="65" t="n"/>
      <c r="O247" s="62">
        <f>IF(B247="Revenue",G247,0)</f>
        <v/>
      </c>
      <c r="P247" s="62">
        <f>IF(B247="Expense",G247,0)</f>
        <v/>
      </c>
      <c r="Q247" s="61" t="n"/>
    </row>
    <row r="248">
      <c r="A248" s="60" t="n"/>
      <c r="B248" s="61" t="n"/>
      <c r="C248" s="61" t="n"/>
      <c r="D248" s="61" t="n"/>
      <c r="E248" s="61" t="n"/>
      <c r="F248" s="61" t="n"/>
      <c r="G248" s="62" t="n"/>
      <c r="H248" s="63">
        <f>IF(A248="","",Settings!$B$4)</f>
        <v/>
      </c>
      <c r="I248" s="62">
        <f>IF(G248="","",IF(OR(B248="Revenue",K248="Yes"),ROUND(G248*H248,2),0))</f>
        <v/>
      </c>
      <c r="J248" s="62">
        <f>IF(G248="","",G248+ROUND(G248*H248,2))</f>
        <v/>
      </c>
      <c r="K248" s="61" t="n"/>
      <c r="L248" s="64">
        <f>IF(A248="","",DATE(YEAR(A248),MONTH(A248),1))</f>
        <v/>
      </c>
      <c r="M248" s="61" t="n"/>
      <c r="N248" s="65" t="n"/>
      <c r="O248" s="62">
        <f>IF(B248="Revenue",G248,0)</f>
        <v/>
      </c>
      <c r="P248" s="62">
        <f>IF(B248="Expense",G248,0)</f>
        <v/>
      </c>
      <c r="Q248" s="61" t="n"/>
    </row>
    <row r="249">
      <c r="A249" s="60" t="n"/>
      <c r="B249" s="61" t="n"/>
      <c r="C249" s="61" t="n"/>
      <c r="D249" s="61" t="n"/>
      <c r="E249" s="61" t="n"/>
      <c r="F249" s="61" t="n"/>
      <c r="G249" s="62" t="n"/>
      <c r="H249" s="63">
        <f>IF(A249="","",Settings!$B$4)</f>
        <v/>
      </c>
      <c r="I249" s="62">
        <f>IF(G249="","",IF(OR(B249="Revenue",K249="Yes"),ROUND(G249*H249,2),0))</f>
        <v/>
      </c>
      <c r="J249" s="62">
        <f>IF(G249="","",G249+ROUND(G249*H249,2))</f>
        <v/>
      </c>
      <c r="K249" s="61" t="n"/>
      <c r="L249" s="64">
        <f>IF(A249="","",DATE(YEAR(A249),MONTH(A249),1))</f>
        <v/>
      </c>
      <c r="M249" s="61" t="n"/>
      <c r="N249" s="65" t="n"/>
      <c r="O249" s="62">
        <f>IF(B249="Revenue",G249,0)</f>
        <v/>
      </c>
      <c r="P249" s="62">
        <f>IF(B249="Expense",G249,0)</f>
        <v/>
      </c>
      <c r="Q249" s="61" t="n"/>
    </row>
    <row r="250">
      <c r="A250" s="60" t="n"/>
      <c r="B250" s="61" t="n"/>
      <c r="C250" s="61" t="n"/>
      <c r="D250" s="61" t="n"/>
      <c r="E250" s="61" t="n"/>
      <c r="F250" s="61" t="n"/>
      <c r="G250" s="62" t="n"/>
      <c r="H250" s="63">
        <f>IF(A250="","",Settings!$B$4)</f>
        <v/>
      </c>
      <c r="I250" s="62">
        <f>IF(G250="","",IF(OR(B250="Revenue",K250="Yes"),ROUND(G250*H250,2),0))</f>
        <v/>
      </c>
      <c r="J250" s="62">
        <f>IF(G250="","",G250+ROUND(G250*H250,2))</f>
        <v/>
      </c>
      <c r="K250" s="61" t="n"/>
      <c r="L250" s="64">
        <f>IF(A250="","",DATE(YEAR(A250),MONTH(A250),1))</f>
        <v/>
      </c>
      <c r="M250" s="61" t="n"/>
      <c r="N250" s="65" t="n"/>
      <c r="O250" s="62">
        <f>IF(B250="Revenue",G250,0)</f>
        <v/>
      </c>
      <c r="P250" s="62">
        <f>IF(B250="Expense",G250,0)</f>
        <v/>
      </c>
      <c r="Q250" s="61" t="n"/>
    </row>
    <row r="251">
      <c r="A251" s="60" t="n"/>
      <c r="B251" s="61" t="n"/>
      <c r="C251" s="61" t="n"/>
      <c r="D251" s="61" t="n"/>
      <c r="E251" s="61" t="n"/>
      <c r="F251" s="61" t="n"/>
      <c r="G251" s="62" t="n"/>
      <c r="H251" s="63">
        <f>IF(A251="","",Settings!$B$4)</f>
        <v/>
      </c>
      <c r="I251" s="62">
        <f>IF(G251="","",IF(OR(B251="Revenue",K251="Yes"),ROUND(G251*H251,2),0))</f>
        <v/>
      </c>
      <c r="J251" s="62">
        <f>IF(G251="","",G251+ROUND(G251*H251,2))</f>
        <v/>
      </c>
      <c r="K251" s="61" t="n"/>
      <c r="L251" s="64">
        <f>IF(A251="","",DATE(YEAR(A251),MONTH(A251),1))</f>
        <v/>
      </c>
      <c r="M251" s="61" t="n"/>
      <c r="N251" s="65" t="n"/>
      <c r="O251" s="62">
        <f>IF(B251="Revenue",G251,0)</f>
        <v/>
      </c>
      <c r="P251" s="62">
        <f>IF(B251="Expense",G251,0)</f>
        <v/>
      </c>
      <c r="Q251" s="61" t="n"/>
    </row>
    <row r="252">
      <c r="A252" s="60" t="n"/>
      <c r="B252" s="61" t="n"/>
      <c r="C252" s="61" t="n"/>
      <c r="D252" s="61" t="n"/>
      <c r="E252" s="61" t="n"/>
      <c r="F252" s="61" t="n"/>
      <c r="G252" s="62" t="n"/>
      <c r="H252" s="63">
        <f>IF(A252="","",Settings!$B$4)</f>
        <v/>
      </c>
      <c r="I252" s="62">
        <f>IF(G252="","",IF(OR(B252="Revenue",K252="Yes"),ROUND(G252*H252,2),0))</f>
        <v/>
      </c>
      <c r="J252" s="62">
        <f>IF(G252="","",G252+ROUND(G252*H252,2))</f>
        <v/>
      </c>
      <c r="K252" s="61" t="n"/>
      <c r="L252" s="64">
        <f>IF(A252="","",DATE(YEAR(A252),MONTH(A252),1))</f>
        <v/>
      </c>
      <c r="M252" s="61" t="n"/>
      <c r="N252" s="65" t="n"/>
      <c r="O252" s="62">
        <f>IF(B252="Revenue",G252,0)</f>
        <v/>
      </c>
      <c r="P252" s="62">
        <f>IF(B252="Expense",G252,0)</f>
        <v/>
      </c>
      <c r="Q252" s="61" t="n"/>
    </row>
    <row r="253">
      <c r="A253" s="60" t="n"/>
      <c r="B253" s="61" t="n"/>
      <c r="C253" s="61" t="n"/>
      <c r="D253" s="61" t="n"/>
      <c r="E253" s="61" t="n"/>
      <c r="F253" s="61" t="n"/>
      <c r="G253" s="62" t="n"/>
      <c r="H253" s="63">
        <f>IF(A253="","",Settings!$B$4)</f>
        <v/>
      </c>
      <c r="I253" s="62">
        <f>IF(G253="","",IF(OR(B253="Revenue",K253="Yes"),ROUND(G253*H253,2),0))</f>
        <v/>
      </c>
      <c r="J253" s="62">
        <f>IF(G253="","",G253+ROUND(G253*H253,2))</f>
        <v/>
      </c>
      <c r="K253" s="61" t="n"/>
      <c r="L253" s="64">
        <f>IF(A253="","",DATE(YEAR(A253),MONTH(A253),1))</f>
        <v/>
      </c>
      <c r="M253" s="61" t="n"/>
      <c r="N253" s="65" t="n"/>
      <c r="O253" s="62">
        <f>IF(B253="Revenue",G253,0)</f>
        <v/>
      </c>
      <c r="P253" s="62">
        <f>IF(B253="Expense",G253,0)</f>
        <v/>
      </c>
      <c r="Q253" s="61" t="n"/>
    </row>
    <row r="254">
      <c r="A254" s="60" t="n"/>
      <c r="B254" s="61" t="n"/>
      <c r="C254" s="61" t="n"/>
      <c r="D254" s="61" t="n"/>
      <c r="E254" s="61" t="n"/>
      <c r="F254" s="61" t="n"/>
      <c r="G254" s="62" t="n"/>
      <c r="H254" s="63">
        <f>IF(A254="","",Settings!$B$4)</f>
        <v/>
      </c>
      <c r="I254" s="62">
        <f>IF(G254="","",IF(OR(B254="Revenue",K254="Yes"),ROUND(G254*H254,2),0))</f>
        <v/>
      </c>
      <c r="J254" s="62">
        <f>IF(G254="","",G254+ROUND(G254*H254,2))</f>
        <v/>
      </c>
      <c r="K254" s="61" t="n"/>
      <c r="L254" s="64">
        <f>IF(A254="","",DATE(YEAR(A254),MONTH(A254),1))</f>
        <v/>
      </c>
      <c r="M254" s="61" t="n"/>
      <c r="N254" s="65" t="n"/>
      <c r="O254" s="62">
        <f>IF(B254="Revenue",G254,0)</f>
        <v/>
      </c>
      <c r="P254" s="62">
        <f>IF(B254="Expense",G254,0)</f>
        <v/>
      </c>
      <c r="Q254" s="61" t="n"/>
    </row>
    <row r="255">
      <c r="A255" s="60" t="n"/>
      <c r="B255" s="61" t="n"/>
      <c r="C255" s="61" t="n"/>
      <c r="D255" s="61" t="n"/>
      <c r="E255" s="61" t="n"/>
      <c r="F255" s="61" t="n"/>
      <c r="G255" s="62" t="n"/>
      <c r="H255" s="63">
        <f>IF(A255="","",Settings!$B$4)</f>
        <v/>
      </c>
      <c r="I255" s="62">
        <f>IF(G255="","",IF(OR(B255="Revenue",K255="Yes"),ROUND(G255*H255,2),0))</f>
        <v/>
      </c>
      <c r="J255" s="62">
        <f>IF(G255="","",G255+ROUND(G255*H255,2))</f>
        <v/>
      </c>
      <c r="K255" s="61" t="n"/>
      <c r="L255" s="64">
        <f>IF(A255="","",DATE(YEAR(A255),MONTH(A255),1))</f>
        <v/>
      </c>
      <c r="M255" s="61" t="n"/>
      <c r="N255" s="65" t="n"/>
      <c r="O255" s="62">
        <f>IF(B255="Revenue",G255,0)</f>
        <v/>
      </c>
      <c r="P255" s="62">
        <f>IF(B255="Expense",G255,0)</f>
        <v/>
      </c>
      <c r="Q255" s="61" t="n"/>
    </row>
    <row r="256">
      <c r="A256" s="60" t="n"/>
      <c r="B256" s="61" t="n"/>
      <c r="C256" s="61" t="n"/>
      <c r="D256" s="61" t="n"/>
      <c r="E256" s="61" t="n"/>
      <c r="F256" s="61" t="n"/>
      <c r="G256" s="62" t="n"/>
      <c r="H256" s="63">
        <f>IF(A256="","",Settings!$B$4)</f>
        <v/>
      </c>
      <c r="I256" s="62">
        <f>IF(G256="","",IF(OR(B256="Revenue",K256="Yes"),ROUND(G256*H256,2),0))</f>
        <v/>
      </c>
      <c r="J256" s="62">
        <f>IF(G256="","",G256+ROUND(G256*H256,2))</f>
        <v/>
      </c>
      <c r="K256" s="61" t="n"/>
      <c r="L256" s="64">
        <f>IF(A256="","",DATE(YEAR(A256),MONTH(A256),1))</f>
        <v/>
      </c>
      <c r="M256" s="61" t="n"/>
      <c r="N256" s="65" t="n"/>
      <c r="O256" s="62">
        <f>IF(B256="Revenue",G256,0)</f>
        <v/>
      </c>
      <c r="P256" s="62">
        <f>IF(B256="Expense",G256,0)</f>
        <v/>
      </c>
      <c r="Q256" s="61" t="n"/>
    </row>
    <row r="257">
      <c r="A257" s="60" t="n"/>
      <c r="B257" s="61" t="n"/>
      <c r="C257" s="61" t="n"/>
      <c r="D257" s="61" t="n"/>
      <c r="E257" s="61" t="n"/>
      <c r="F257" s="61" t="n"/>
      <c r="G257" s="62" t="n"/>
      <c r="H257" s="63">
        <f>IF(A257="","",Settings!$B$4)</f>
        <v/>
      </c>
      <c r="I257" s="62">
        <f>IF(G257="","",IF(OR(B257="Revenue",K257="Yes"),ROUND(G257*H257,2),0))</f>
        <v/>
      </c>
      <c r="J257" s="62">
        <f>IF(G257="","",G257+ROUND(G257*H257,2))</f>
        <v/>
      </c>
      <c r="K257" s="61" t="n"/>
      <c r="L257" s="64">
        <f>IF(A257="","",DATE(YEAR(A257),MONTH(A257),1))</f>
        <v/>
      </c>
      <c r="M257" s="61" t="n"/>
      <c r="N257" s="65" t="n"/>
      <c r="O257" s="62">
        <f>IF(B257="Revenue",G257,0)</f>
        <v/>
      </c>
      <c r="P257" s="62">
        <f>IF(B257="Expense",G257,0)</f>
        <v/>
      </c>
      <c r="Q257" s="61" t="n"/>
    </row>
    <row r="258">
      <c r="A258" s="60" t="n"/>
      <c r="B258" s="61" t="n"/>
      <c r="C258" s="61" t="n"/>
      <c r="D258" s="61" t="n"/>
      <c r="E258" s="61" t="n"/>
      <c r="F258" s="61" t="n"/>
      <c r="G258" s="62" t="n"/>
      <c r="H258" s="63">
        <f>IF(A258="","",Settings!$B$4)</f>
        <v/>
      </c>
      <c r="I258" s="62">
        <f>IF(G258="","",IF(OR(B258="Revenue",K258="Yes"),ROUND(G258*H258,2),0))</f>
        <v/>
      </c>
      <c r="J258" s="62">
        <f>IF(G258="","",G258+ROUND(G258*H258,2))</f>
        <v/>
      </c>
      <c r="K258" s="61" t="n"/>
      <c r="L258" s="64">
        <f>IF(A258="","",DATE(YEAR(A258),MONTH(A258),1))</f>
        <v/>
      </c>
      <c r="M258" s="61" t="n"/>
      <c r="N258" s="65" t="n"/>
      <c r="O258" s="62">
        <f>IF(B258="Revenue",G258,0)</f>
        <v/>
      </c>
      <c r="P258" s="62">
        <f>IF(B258="Expense",G258,0)</f>
        <v/>
      </c>
      <c r="Q258" s="61" t="n"/>
    </row>
    <row r="259">
      <c r="A259" s="60" t="n"/>
      <c r="B259" s="61" t="n"/>
      <c r="C259" s="61" t="n"/>
      <c r="D259" s="61" t="n"/>
      <c r="E259" s="61" t="n"/>
      <c r="F259" s="61" t="n"/>
      <c r="G259" s="62" t="n"/>
      <c r="H259" s="63">
        <f>IF(A259="","",Settings!$B$4)</f>
        <v/>
      </c>
      <c r="I259" s="62">
        <f>IF(G259="","",IF(OR(B259="Revenue",K259="Yes"),ROUND(G259*H259,2),0))</f>
        <v/>
      </c>
      <c r="J259" s="62">
        <f>IF(G259="","",G259+ROUND(G259*H259,2))</f>
        <v/>
      </c>
      <c r="K259" s="61" t="n"/>
      <c r="L259" s="64">
        <f>IF(A259="","",DATE(YEAR(A259),MONTH(A259),1))</f>
        <v/>
      </c>
      <c r="M259" s="61" t="n"/>
      <c r="N259" s="65" t="n"/>
      <c r="O259" s="62">
        <f>IF(B259="Revenue",G259,0)</f>
        <v/>
      </c>
      <c r="P259" s="62">
        <f>IF(B259="Expense",G259,0)</f>
        <v/>
      </c>
      <c r="Q259" s="61" t="n"/>
    </row>
    <row r="260">
      <c r="A260" s="60" t="n"/>
      <c r="B260" s="61" t="n"/>
      <c r="C260" s="61" t="n"/>
      <c r="D260" s="61" t="n"/>
      <c r="E260" s="61" t="n"/>
      <c r="F260" s="61" t="n"/>
      <c r="G260" s="62" t="n"/>
      <c r="H260" s="63">
        <f>IF(A260="","",Settings!$B$4)</f>
        <v/>
      </c>
      <c r="I260" s="62">
        <f>IF(G260="","",IF(OR(B260="Revenue",K260="Yes"),ROUND(G260*H260,2),0))</f>
        <v/>
      </c>
      <c r="J260" s="62">
        <f>IF(G260="","",G260+ROUND(G260*H260,2))</f>
        <v/>
      </c>
      <c r="K260" s="61" t="n"/>
      <c r="L260" s="64">
        <f>IF(A260="","",DATE(YEAR(A260),MONTH(A260),1))</f>
        <v/>
      </c>
      <c r="M260" s="61" t="n"/>
      <c r="N260" s="65" t="n"/>
      <c r="O260" s="62">
        <f>IF(B260="Revenue",G260,0)</f>
        <v/>
      </c>
      <c r="P260" s="62">
        <f>IF(B260="Expense",G260,0)</f>
        <v/>
      </c>
      <c r="Q260" s="61" t="n"/>
    </row>
    <row r="261">
      <c r="A261" s="60" t="n"/>
      <c r="B261" s="61" t="n"/>
      <c r="C261" s="61" t="n"/>
      <c r="D261" s="61" t="n"/>
      <c r="E261" s="61" t="n"/>
      <c r="F261" s="61" t="n"/>
      <c r="G261" s="62" t="n"/>
      <c r="H261" s="63">
        <f>IF(A261="","",Settings!$B$4)</f>
        <v/>
      </c>
      <c r="I261" s="62">
        <f>IF(G261="","",IF(OR(B261="Revenue",K261="Yes"),ROUND(G261*H261,2),0))</f>
        <v/>
      </c>
      <c r="J261" s="62">
        <f>IF(G261="","",G261+ROUND(G261*H261,2))</f>
        <v/>
      </c>
      <c r="K261" s="61" t="n"/>
      <c r="L261" s="64">
        <f>IF(A261="","",DATE(YEAR(A261),MONTH(A261),1))</f>
        <v/>
      </c>
      <c r="M261" s="61" t="n"/>
      <c r="N261" s="65" t="n"/>
      <c r="O261" s="62">
        <f>IF(B261="Revenue",G261,0)</f>
        <v/>
      </c>
      <c r="P261" s="62">
        <f>IF(B261="Expense",G261,0)</f>
        <v/>
      </c>
      <c r="Q261" s="61" t="n"/>
    </row>
    <row r="262">
      <c r="A262" s="60" t="n"/>
      <c r="B262" s="61" t="n"/>
      <c r="C262" s="61" t="n"/>
      <c r="D262" s="61" t="n"/>
      <c r="E262" s="61" t="n"/>
      <c r="F262" s="61" t="n"/>
      <c r="G262" s="62" t="n"/>
      <c r="H262" s="63">
        <f>IF(A262="","",Settings!$B$4)</f>
        <v/>
      </c>
      <c r="I262" s="62">
        <f>IF(G262="","",IF(OR(B262="Revenue",K262="Yes"),ROUND(G262*H262,2),0))</f>
        <v/>
      </c>
      <c r="J262" s="62">
        <f>IF(G262="","",G262+ROUND(G262*H262,2))</f>
        <v/>
      </c>
      <c r="K262" s="61" t="n"/>
      <c r="L262" s="64">
        <f>IF(A262="","",DATE(YEAR(A262),MONTH(A262),1))</f>
        <v/>
      </c>
      <c r="M262" s="61" t="n"/>
      <c r="N262" s="65" t="n"/>
      <c r="O262" s="62">
        <f>IF(B262="Revenue",G262,0)</f>
        <v/>
      </c>
      <c r="P262" s="62">
        <f>IF(B262="Expense",G262,0)</f>
        <v/>
      </c>
      <c r="Q262" s="61" t="n"/>
    </row>
    <row r="263">
      <c r="A263" s="60" t="n"/>
      <c r="B263" s="61" t="n"/>
      <c r="C263" s="61" t="n"/>
      <c r="D263" s="61" t="n"/>
      <c r="E263" s="61" t="n"/>
      <c r="F263" s="61" t="n"/>
      <c r="G263" s="62" t="n"/>
      <c r="H263" s="63">
        <f>IF(A263="","",Settings!$B$4)</f>
        <v/>
      </c>
      <c r="I263" s="62">
        <f>IF(G263="","",IF(OR(B263="Revenue",K263="Yes"),ROUND(G263*H263,2),0))</f>
        <v/>
      </c>
      <c r="J263" s="62">
        <f>IF(G263="","",G263+ROUND(G263*H263,2))</f>
        <v/>
      </c>
      <c r="K263" s="61" t="n"/>
      <c r="L263" s="64">
        <f>IF(A263="","",DATE(YEAR(A263),MONTH(A263),1))</f>
        <v/>
      </c>
      <c r="M263" s="61" t="n"/>
      <c r="N263" s="65" t="n"/>
      <c r="O263" s="62">
        <f>IF(B263="Revenue",G263,0)</f>
        <v/>
      </c>
      <c r="P263" s="62">
        <f>IF(B263="Expense",G263,0)</f>
        <v/>
      </c>
      <c r="Q263" s="61" t="n"/>
    </row>
    <row r="264">
      <c r="A264" s="60" t="n"/>
      <c r="B264" s="61" t="n"/>
      <c r="C264" s="61" t="n"/>
      <c r="D264" s="61" t="n"/>
      <c r="E264" s="61" t="n"/>
      <c r="F264" s="61" t="n"/>
      <c r="G264" s="62" t="n"/>
      <c r="H264" s="63">
        <f>IF(A264="","",Settings!$B$4)</f>
        <v/>
      </c>
      <c r="I264" s="62">
        <f>IF(G264="","",IF(OR(B264="Revenue",K264="Yes"),ROUND(G264*H264,2),0))</f>
        <v/>
      </c>
      <c r="J264" s="62">
        <f>IF(G264="","",G264+ROUND(G264*H264,2))</f>
        <v/>
      </c>
      <c r="K264" s="61" t="n"/>
      <c r="L264" s="64">
        <f>IF(A264="","",DATE(YEAR(A264),MONTH(A264),1))</f>
        <v/>
      </c>
      <c r="M264" s="61" t="n"/>
      <c r="N264" s="65" t="n"/>
      <c r="O264" s="62">
        <f>IF(B264="Revenue",G264,0)</f>
        <v/>
      </c>
      <c r="P264" s="62">
        <f>IF(B264="Expense",G264,0)</f>
        <v/>
      </c>
      <c r="Q264" s="61" t="n"/>
    </row>
    <row r="265">
      <c r="A265" s="60" t="n"/>
      <c r="B265" s="61" t="n"/>
      <c r="C265" s="61" t="n"/>
      <c r="D265" s="61" t="n"/>
      <c r="E265" s="61" t="n"/>
      <c r="F265" s="61" t="n"/>
      <c r="G265" s="62" t="n"/>
      <c r="H265" s="63">
        <f>IF(A265="","",Settings!$B$4)</f>
        <v/>
      </c>
      <c r="I265" s="62">
        <f>IF(G265="","",IF(OR(B265="Revenue",K265="Yes"),ROUND(G265*H265,2),0))</f>
        <v/>
      </c>
      <c r="J265" s="62">
        <f>IF(G265="","",G265+ROUND(G265*H265,2))</f>
        <v/>
      </c>
      <c r="K265" s="61" t="n"/>
      <c r="L265" s="64">
        <f>IF(A265="","",DATE(YEAR(A265),MONTH(A265),1))</f>
        <v/>
      </c>
      <c r="M265" s="61" t="n"/>
      <c r="N265" s="65" t="n"/>
      <c r="O265" s="62">
        <f>IF(B265="Revenue",G265,0)</f>
        <v/>
      </c>
      <c r="P265" s="62">
        <f>IF(B265="Expense",G265,0)</f>
        <v/>
      </c>
      <c r="Q265" s="61" t="n"/>
    </row>
    <row r="267">
      <c r="A267" s="58" t="inlineStr">
        <is>
          <t>September 2026 / เดือน Sep</t>
        </is>
      </c>
    </row>
    <row r="268">
      <c r="A268" s="59" t="inlineStr">
        <is>
          <t>วันที่</t>
        </is>
      </c>
      <c r="B268" s="59" t="inlineStr">
        <is>
          <t>ประเภท</t>
        </is>
      </c>
      <c r="C268" s="59" t="inlineStr">
        <is>
          <t>เลขที่เอกสาร</t>
        </is>
      </c>
      <c r="D268" s="59" t="inlineStr">
        <is>
          <t>ลูกค้า/ผู้ขาย</t>
        </is>
      </c>
      <c r="E268" s="59" t="inlineStr">
        <is>
          <t>รายละเอียด</t>
        </is>
      </c>
      <c r="F268" s="59" t="inlineStr">
        <is>
          <t>หมวด</t>
        </is>
      </c>
      <c r="G268" s="59" t="inlineStr">
        <is>
          <t>ยอดก่อน VAT</t>
        </is>
      </c>
      <c r="H268" s="59" t="inlineStr">
        <is>
          <t>อัตรา VAT</t>
        </is>
      </c>
      <c r="I268" s="59" t="inlineStr">
        <is>
          <t>VAT</t>
        </is>
      </c>
      <c r="J268" s="59" t="inlineStr">
        <is>
          <t>ยอดรวม</t>
        </is>
      </c>
      <c r="K268" s="59" t="inlineStr">
        <is>
          <t>รับเงิน/ขอคืน VAT?</t>
        </is>
      </c>
      <c r="L268" s="59" t="inlineStr">
        <is>
          <t>เดือน</t>
        </is>
      </c>
      <c r="M268" s="59" t="inlineStr">
        <is>
          <t>ไฟล์เอกสาร</t>
        </is>
      </c>
      <c r="N268" s="59" t="inlineStr">
        <is>
          <t>OCR Confidence</t>
        </is>
      </c>
      <c r="O268" s="59" t="inlineStr">
        <is>
          <t>รายรับก่อน VAT</t>
        </is>
      </c>
      <c r="P268" s="59" t="inlineStr">
        <is>
          <t>ค่าใช้จ่ายก่อน VAT</t>
        </is>
      </c>
      <c r="Q268" s="59" t="inlineStr">
        <is>
          <t>หมายเหตุ</t>
        </is>
      </c>
      <c r="R268" s="74" t="inlineStr">
        <is>
          <t>ประเภทเอกสาร</t>
        </is>
      </c>
    </row>
    <row r="269">
      <c r="A269" s="60" t="n"/>
      <c r="B269" s="61" t="n"/>
      <c r="C269" s="61" t="n"/>
      <c r="D269" s="61" t="n"/>
      <c r="E269" s="61" t="n"/>
      <c r="F269" s="61" t="n"/>
      <c r="G269" s="62" t="n"/>
      <c r="H269" s="63">
        <f>IF(A269="","",Settings!$B$4)</f>
        <v/>
      </c>
      <c r="I269" s="62">
        <f>IF(G269="","",IF(OR(B269="Revenue",K269="Yes"),ROUND(G269*H269,2),0))</f>
        <v/>
      </c>
      <c r="J269" s="62">
        <f>IF(G269="","",G269+ROUND(G269*H269,2))</f>
        <v/>
      </c>
      <c r="K269" s="61" t="n"/>
      <c r="L269" s="64">
        <f>IF(A269="","",DATE(YEAR(A269),MONTH(A269),1))</f>
        <v/>
      </c>
      <c r="M269" s="61" t="n"/>
      <c r="N269" s="65" t="n"/>
      <c r="O269" s="62">
        <f>IF(B269="Revenue",G269,0)</f>
        <v/>
      </c>
      <c r="P269" s="62">
        <f>IF(B269="Expense",G269,0)</f>
        <v/>
      </c>
      <c r="Q269" s="61" t="n"/>
    </row>
    <row r="270">
      <c r="A270" s="60" t="n"/>
      <c r="B270" s="61" t="n"/>
      <c r="C270" s="61" t="n"/>
      <c r="D270" s="61" t="n"/>
      <c r="E270" s="61" t="n"/>
      <c r="F270" s="61" t="n"/>
      <c r="G270" s="62" t="n"/>
      <c r="H270" s="63">
        <f>IF(A270="","",Settings!$B$4)</f>
        <v/>
      </c>
      <c r="I270" s="62">
        <f>IF(G270="","",IF(OR(B270="Revenue",K270="Yes"),ROUND(G270*H270,2),0))</f>
        <v/>
      </c>
      <c r="J270" s="62">
        <f>IF(G270="","",G270+ROUND(G270*H270,2))</f>
        <v/>
      </c>
      <c r="K270" s="61" t="n"/>
      <c r="L270" s="64">
        <f>IF(A270="","",DATE(YEAR(A270),MONTH(A270),1))</f>
        <v/>
      </c>
      <c r="M270" s="61" t="n"/>
      <c r="N270" s="65" t="n"/>
      <c r="O270" s="62">
        <f>IF(B270="Revenue",G270,0)</f>
        <v/>
      </c>
      <c r="P270" s="62">
        <f>IF(B270="Expense",G270,0)</f>
        <v/>
      </c>
      <c r="Q270" s="61" t="n"/>
    </row>
    <row r="271">
      <c r="A271" s="60" t="n"/>
      <c r="B271" s="61" t="n"/>
      <c r="C271" s="61" t="n"/>
      <c r="D271" s="61" t="n"/>
      <c r="E271" s="61" t="n"/>
      <c r="F271" s="61" t="n"/>
      <c r="G271" s="62" t="n"/>
      <c r="H271" s="63">
        <f>IF(A271="","",Settings!$B$4)</f>
        <v/>
      </c>
      <c r="I271" s="62">
        <f>IF(G271="","",IF(OR(B271="Revenue",K271="Yes"),ROUND(G271*H271,2),0))</f>
        <v/>
      </c>
      <c r="J271" s="62">
        <f>IF(G271="","",G271+ROUND(G271*H271,2))</f>
        <v/>
      </c>
      <c r="K271" s="61" t="n"/>
      <c r="L271" s="64">
        <f>IF(A271="","",DATE(YEAR(A271),MONTH(A271),1))</f>
        <v/>
      </c>
      <c r="M271" s="61" t="n"/>
      <c r="N271" s="65" t="n"/>
      <c r="O271" s="62">
        <f>IF(B271="Revenue",G271,0)</f>
        <v/>
      </c>
      <c r="P271" s="62">
        <f>IF(B271="Expense",G271,0)</f>
        <v/>
      </c>
      <c r="Q271" s="61" t="n"/>
    </row>
    <row r="272">
      <c r="A272" s="60" t="n"/>
      <c r="B272" s="61" t="n"/>
      <c r="C272" s="61" t="n"/>
      <c r="D272" s="61" t="n"/>
      <c r="E272" s="61" t="n"/>
      <c r="F272" s="61" t="n"/>
      <c r="G272" s="62" t="n"/>
      <c r="H272" s="63">
        <f>IF(A272="","",Settings!$B$4)</f>
        <v/>
      </c>
      <c r="I272" s="62">
        <f>IF(G272="","",IF(OR(B272="Revenue",K272="Yes"),ROUND(G272*H272,2),0))</f>
        <v/>
      </c>
      <c r="J272" s="62">
        <f>IF(G272="","",G272+ROUND(G272*H272,2))</f>
        <v/>
      </c>
      <c r="K272" s="61" t="n"/>
      <c r="L272" s="64">
        <f>IF(A272="","",DATE(YEAR(A272),MONTH(A272),1))</f>
        <v/>
      </c>
      <c r="M272" s="61" t="n"/>
      <c r="N272" s="65" t="n"/>
      <c r="O272" s="62">
        <f>IF(B272="Revenue",G272,0)</f>
        <v/>
      </c>
      <c r="P272" s="62">
        <f>IF(B272="Expense",G272,0)</f>
        <v/>
      </c>
      <c r="Q272" s="61" t="n"/>
    </row>
    <row r="273">
      <c r="A273" s="60" t="n"/>
      <c r="B273" s="61" t="n"/>
      <c r="C273" s="61" t="n"/>
      <c r="D273" s="61" t="n"/>
      <c r="E273" s="61" t="n"/>
      <c r="F273" s="61" t="n"/>
      <c r="G273" s="62" t="n"/>
      <c r="H273" s="63">
        <f>IF(A273="","",Settings!$B$4)</f>
        <v/>
      </c>
      <c r="I273" s="62">
        <f>IF(G273="","",IF(OR(B273="Revenue",K273="Yes"),ROUND(G273*H273,2),0))</f>
        <v/>
      </c>
      <c r="J273" s="62">
        <f>IF(G273="","",G273+ROUND(G273*H273,2))</f>
        <v/>
      </c>
      <c r="K273" s="61" t="n"/>
      <c r="L273" s="64">
        <f>IF(A273="","",DATE(YEAR(A273),MONTH(A273),1))</f>
        <v/>
      </c>
      <c r="M273" s="61" t="n"/>
      <c r="N273" s="65" t="n"/>
      <c r="O273" s="62">
        <f>IF(B273="Revenue",G273,0)</f>
        <v/>
      </c>
      <c r="P273" s="62">
        <f>IF(B273="Expense",G273,0)</f>
        <v/>
      </c>
      <c r="Q273" s="61" t="n"/>
    </row>
    <row r="274">
      <c r="A274" s="60" t="n"/>
      <c r="B274" s="61" t="n"/>
      <c r="C274" s="61" t="n"/>
      <c r="D274" s="61" t="n"/>
      <c r="E274" s="61" t="n"/>
      <c r="F274" s="61" t="n"/>
      <c r="G274" s="62" t="n"/>
      <c r="H274" s="63">
        <f>IF(A274="","",Settings!$B$4)</f>
        <v/>
      </c>
      <c r="I274" s="62">
        <f>IF(G274="","",IF(OR(B274="Revenue",K274="Yes"),ROUND(G274*H274,2),0))</f>
        <v/>
      </c>
      <c r="J274" s="62">
        <f>IF(G274="","",G274+ROUND(G274*H274,2))</f>
        <v/>
      </c>
      <c r="K274" s="61" t="n"/>
      <c r="L274" s="64">
        <f>IF(A274="","",DATE(YEAR(A274),MONTH(A274),1))</f>
        <v/>
      </c>
      <c r="M274" s="61" t="n"/>
      <c r="N274" s="65" t="n"/>
      <c r="O274" s="62">
        <f>IF(B274="Revenue",G274,0)</f>
        <v/>
      </c>
      <c r="P274" s="62">
        <f>IF(B274="Expense",G274,0)</f>
        <v/>
      </c>
      <c r="Q274" s="61" t="n"/>
    </row>
    <row r="275">
      <c r="A275" s="60" t="n"/>
      <c r="B275" s="61" t="n"/>
      <c r="C275" s="61" t="n"/>
      <c r="D275" s="61" t="n"/>
      <c r="E275" s="61" t="n"/>
      <c r="F275" s="61" t="n"/>
      <c r="G275" s="62" t="n"/>
      <c r="H275" s="63">
        <f>IF(A275="","",Settings!$B$4)</f>
        <v/>
      </c>
      <c r="I275" s="62">
        <f>IF(G275="","",IF(OR(B275="Revenue",K275="Yes"),ROUND(G275*H275,2),0))</f>
        <v/>
      </c>
      <c r="J275" s="62">
        <f>IF(G275="","",G275+ROUND(G275*H275,2))</f>
        <v/>
      </c>
      <c r="K275" s="61" t="n"/>
      <c r="L275" s="64">
        <f>IF(A275="","",DATE(YEAR(A275),MONTH(A275),1))</f>
        <v/>
      </c>
      <c r="M275" s="61" t="n"/>
      <c r="N275" s="65" t="n"/>
      <c r="O275" s="62">
        <f>IF(B275="Revenue",G275,0)</f>
        <v/>
      </c>
      <c r="P275" s="62">
        <f>IF(B275="Expense",G275,0)</f>
        <v/>
      </c>
      <c r="Q275" s="61" t="n"/>
    </row>
    <row r="276">
      <c r="A276" s="60" t="n"/>
      <c r="B276" s="61" t="n"/>
      <c r="C276" s="61" t="n"/>
      <c r="D276" s="61" t="n"/>
      <c r="E276" s="61" t="n"/>
      <c r="F276" s="61" t="n"/>
      <c r="G276" s="62" t="n"/>
      <c r="H276" s="63">
        <f>IF(A276="","",Settings!$B$4)</f>
        <v/>
      </c>
      <c r="I276" s="62">
        <f>IF(G276="","",IF(OR(B276="Revenue",K276="Yes"),ROUND(G276*H276,2),0))</f>
        <v/>
      </c>
      <c r="J276" s="62">
        <f>IF(G276="","",G276+ROUND(G276*H276,2))</f>
        <v/>
      </c>
      <c r="K276" s="61" t="n"/>
      <c r="L276" s="64">
        <f>IF(A276="","",DATE(YEAR(A276),MONTH(A276),1))</f>
        <v/>
      </c>
      <c r="M276" s="61" t="n"/>
      <c r="N276" s="65" t="n"/>
      <c r="O276" s="62">
        <f>IF(B276="Revenue",G276,0)</f>
        <v/>
      </c>
      <c r="P276" s="62">
        <f>IF(B276="Expense",G276,0)</f>
        <v/>
      </c>
      <c r="Q276" s="61" t="n"/>
    </row>
    <row r="277">
      <c r="A277" s="60" t="n"/>
      <c r="B277" s="61" t="n"/>
      <c r="C277" s="61" t="n"/>
      <c r="D277" s="61" t="n"/>
      <c r="E277" s="61" t="n"/>
      <c r="F277" s="61" t="n"/>
      <c r="G277" s="62" t="n"/>
      <c r="H277" s="63">
        <f>IF(A277="","",Settings!$B$4)</f>
        <v/>
      </c>
      <c r="I277" s="62">
        <f>IF(G277="","",IF(OR(B277="Revenue",K277="Yes"),ROUND(G277*H277,2),0))</f>
        <v/>
      </c>
      <c r="J277" s="62">
        <f>IF(G277="","",G277+ROUND(G277*H277,2))</f>
        <v/>
      </c>
      <c r="K277" s="61" t="n"/>
      <c r="L277" s="64">
        <f>IF(A277="","",DATE(YEAR(A277),MONTH(A277),1))</f>
        <v/>
      </c>
      <c r="M277" s="61" t="n"/>
      <c r="N277" s="65" t="n"/>
      <c r="O277" s="62">
        <f>IF(B277="Revenue",G277,0)</f>
        <v/>
      </c>
      <c r="P277" s="62">
        <f>IF(B277="Expense",G277,0)</f>
        <v/>
      </c>
      <c r="Q277" s="61" t="n"/>
    </row>
    <row r="278">
      <c r="A278" s="60" t="n"/>
      <c r="B278" s="61" t="n"/>
      <c r="C278" s="61" t="n"/>
      <c r="D278" s="61" t="n"/>
      <c r="E278" s="61" t="n"/>
      <c r="F278" s="61" t="n"/>
      <c r="G278" s="62" t="n"/>
      <c r="H278" s="63">
        <f>IF(A278="","",Settings!$B$4)</f>
        <v/>
      </c>
      <c r="I278" s="62">
        <f>IF(G278="","",IF(OR(B278="Revenue",K278="Yes"),ROUND(G278*H278,2),0))</f>
        <v/>
      </c>
      <c r="J278" s="62">
        <f>IF(G278="","",G278+ROUND(G278*H278,2))</f>
        <v/>
      </c>
      <c r="K278" s="61" t="n"/>
      <c r="L278" s="64">
        <f>IF(A278="","",DATE(YEAR(A278),MONTH(A278),1))</f>
        <v/>
      </c>
      <c r="M278" s="61" t="n"/>
      <c r="N278" s="65" t="n"/>
      <c r="O278" s="62">
        <f>IF(B278="Revenue",G278,0)</f>
        <v/>
      </c>
      <c r="P278" s="62">
        <f>IF(B278="Expense",G278,0)</f>
        <v/>
      </c>
      <c r="Q278" s="61" t="n"/>
    </row>
    <row r="279">
      <c r="A279" s="60" t="n"/>
      <c r="B279" s="61" t="n"/>
      <c r="C279" s="61" t="n"/>
      <c r="D279" s="61" t="n"/>
      <c r="E279" s="61" t="n"/>
      <c r="F279" s="61" t="n"/>
      <c r="G279" s="62" t="n"/>
      <c r="H279" s="63">
        <f>IF(A279="","",Settings!$B$4)</f>
        <v/>
      </c>
      <c r="I279" s="62">
        <f>IF(G279="","",IF(OR(B279="Revenue",K279="Yes"),ROUND(G279*H279,2),0))</f>
        <v/>
      </c>
      <c r="J279" s="62">
        <f>IF(G279="","",G279+ROUND(G279*H279,2))</f>
        <v/>
      </c>
      <c r="K279" s="61" t="n"/>
      <c r="L279" s="64">
        <f>IF(A279="","",DATE(YEAR(A279),MONTH(A279),1))</f>
        <v/>
      </c>
      <c r="M279" s="61" t="n"/>
      <c r="N279" s="65" t="n"/>
      <c r="O279" s="62">
        <f>IF(B279="Revenue",G279,0)</f>
        <v/>
      </c>
      <c r="P279" s="62">
        <f>IF(B279="Expense",G279,0)</f>
        <v/>
      </c>
      <c r="Q279" s="61" t="n"/>
    </row>
    <row r="280">
      <c r="A280" s="60" t="n"/>
      <c r="B280" s="61" t="n"/>
      <c r="C280" s="61" t="n"/>
      <c r="D280" s="61" t="n"/>
      <c r="E280" s="61" t="n"/>
      <c r="F280" s="61" t="n"/>
      <c r="G280" s="62" t="n"/>
      <c r="H280" s="63">
        <f>IF(A280="","",Settings!$B$4)</f>
        <v/>
      </c>
      <c r="I280" s="62">
        <f>IF(G280="","",IF(OR(B280="Revenue",K280="Yes"),ROUND(G280*H280,2),0))</f>
        <v/>
      </c>
      <c r="J280" s="62">
        <f>IF(G280="","",G280+ROUND(G280*H280,2))</f>
        <v/>
      </c>
      <c r="K280" s="61" t="n"/>
      <c r="L280" s="64">
        <f>IF(A280="","",DATE(YEAR(A280),MONTH(A280),1))</f>
        <v/>
      </c>
      <c r="M280" s="61" t="n"/>
      <c r="N280" s="65" t="n"/>
      <c r="O280" s="62">
        <f>IF(B280="Revenue",G280,0)</f>
        <v/>
      </c>
      <c r="P280" s="62">
        <f>IF(B280="Expense",G280,0)</f>
        <v/>
      </c>
      <c r="Q280" s="61" t="n"/>
    </row>
    <row r="281">
      <c r="A281" s="60" t="n"/>
      <c r="B281" s="61" t="n"/>
      <c r="C281" s="61" t="n"/>
      <c r="D281" s="61" t="n"/>
      <c r="E281" s="61" t="n"/>
      <c r="F281" s="61" t="n"/>
      <c r="G281" s="62" t="n"/>
      <c r="H281" s="63">
        <f>IF(A281="","",Settings!$B$4)</f>
        <v/>
      </c>
      <c r="I281" s="62">
        <f>IF(G281="","",IF(OR(B281="Revenue",K281="Yes"),ROUND(G281*H281,2),0))</f>
        <v/>
      </c>
      <c r="J281" s="62">
        <f>IF(G281="","",G281+ROUND(G281*H281,2))</f>
        <v/>
      </c>
      <c r="K281" s="61" t="n"/>
      <c r="L281" s="64">
        <f>IF(A281="","",DATE(YEAR(A281),MONTH(A281),1))</f>
        <v/>
      </c>
      <c r="M281" s="61" t="n"/>
      <c r="N281" s="65" t="n"/>
      <c r="O281" s="62">
        <f>IF(B281="Revenue",G281,0)</f>
        <v/>
      </c>
      <c r="P281" s="62">
        <f>IF(B281="Expense",G281,0)</f>
        <v/>
      </c>
      <c r="Q281" s="61" t="n"/>
    </row>
    <row r="282">
      <c r="A282" s="60" t="n"/>
      <c r="B282" s="61" t="n"/>
      <c r="C282" s="61" t="n"/>
      <c r="D282" s="61" t="n"/>
      <c r="E282" s="61" t="n"/>
      <c r="F282" s="61" t="n"/>
      <c r="G282" s="62" t="n"/>
      <c r="H282" s="63">
        <f>IF(A282="","",Settings!$B$4)</f>
        <v/>
      </c>
      <c r="I282" s="62">
        <f>IF(G282="","",IF(OR(B282="Revenue",K282="Yes"),ROUND(G282*H282,2),0))</f>
        <v/>
      </c>
      <c r="J282" s="62">
        <f>IF(G282="","",G282+ROUND(G282*H282,2))</f>
        <v/>
      </c>
      <c r="K282" s="61" t="n"/>
      <c r="L282" s="64">
        <f>IF(A282="","",DATE(YEAR(A282),MONTH(A282),1))</f>
        <v/>
      </c>
      <c r="M282" s="61" t="n"/>
      <c r="N282" s="65" t="n"/>
      <c r="O282" s="62">
        <f>IF(B282="Revenue",G282,0)</f>
        <v/>
      </c>
      <c r="P282" s="62">
        <f>IF(B282="Expense",G282,0)</f>
        <v/>
      </c>
      <c r="Q282" s="61" t="n"/>
    </row>
    <row r="283">
      <c r="A283" s="60" t="n"/>
      <c r="B283" s="61" t="n"/>
      <c r="C283" s="61" t="n"/>
      <c r="D283" s="61" t="n"/>
      <c r="E283" s="61" t="n"/>
      <c r="F283" s="61" t="n"/>
      <c r="G283" s="62" t="n"/>
      <c r="H283" s="63">
        <f>IF(A283="","",Settings!$B$4)</f>
        <v/>
      </c>
      <c r="I283" s="62">
        <f>IF(G283="","",IF(OR(B283="Revenue",K283="Yes"),ROUND(G283*H283,2),0))</f>
        <v/>
      </c>
      <c r="J283" s="62">
        <f>IF(G283="","",G283+ROUND(G283*H283,2))</f>
        <v/>
      </c>
      <c r="K283" s="61" t="n"/>
      <c r="L283" s="64">
        <f>IF(A283="","",DATE(YEAR(A283),MONTH(A283),1))</f>
        <v/>
      </c>
      <c r="M283" s="61" t="n"/>
      <c r="N283" s="65" t="n"/>
      <c r="O283" s="62">
        <f>IF(B283="Revenue",G283,0)</f>
        <v/>
      </c>
      <c r="P283" s="62">
        <f>IF(B283="Expense",G283,0)</f>
        <v/>
      </c>
      <c r="Q283" s="61" t="n"/>
    </row>
    <row r="284">
      <c r="A284" s="60" t="n"/>
      <c r="B284" s="61" t="n"/>
      <c r="C284" s="61" t="n"/>
      <c r="D284" s="61" t="n"/>
      <c r="E284" s="61" t="n"/>
      <c r="F284" s="61" t="n"/>
      <c r="G284" s="62" t="n"/>
      <c r="H284" s="63">
        <f>IF(A284="","",Settings!$B$4)</f>
        <v/>
      </c>
      <c r="I284" s="62">
        <f>IF(G284="","",IF(OR(B284="Revenue",K284="Yes"),ROUND(G284*H284,2),0))</f>
        <v/>
      </c>
      <c r="J284" s="62">
        <f>IF(G284="","",G284+ROUND(G284*H284,2))</f>
        <v/>
      </c>
      <c r="K284" s="61" t="n"/>
      <c r="L284" s="64">
        <f>IF(A284="","",DATE(YEAR(A284),MONTH(A284),1))</f>
        <v/>
      </c>
      <c r="M284" s="61" t="n"/>
      <c r="N284" s="65" t="n"/>
      <c r="O284" s="62">
        <f>IF(B284="Revenue",G284,0)</f>
        <v/>
      </c>
      <c r="P284" s="62">
        <f>IF(B284="Expense",G284,0)</f>
        <v/>
      </c>
      <c r="Q284" s="61" t="n"/>
    </row>
    <row r="285">
      <c r="A285" s="60" t="n"/>
      <c r="B285" s="61" t="n"/>
      <c r="C285" s="61" t="n"/>
      <c r="D285" s="61" t="n"/>
      <c r="E285" s="61" t="n"/>
      <c r="F285" s="61" t="n"/>
      <c r="G285" s="62" t="n"/>
      <c r="H285" s="63">
        <f>IF(A285="","",Settings!$B$4)</f>
        <v/>
      </c>
      <c r="I285" s="62">
        <f>IF(G285="","",IF(OR(B285="Revenue",K285="Yes"),ROUND(G285*H285,2),0))</f>
        <v/>
      </c>
      <c r="J285" s="62">
        <f>IF(G285="","",G285+ROUND(G285*H285,2))</f>
        <v/>
      </c>
      <c r="K285" s="61" t="n"/>
      <c r="L285" s="64">
        <f>IF(A285="","",DATE(YEAR(A285),MONTH(A285),1))</f>
        <v/>
      </c>
      <c r="M285" s="61" t="n"/>
      <c r="N285" s="65" t="n"/>
      <c r="O285" s="62">
        <f>IF(B285="Revenue",G285,0)</f>
        <v/>
      </c>
      <c r="P285" s="62">
        <f>IF(B285="Expense",G285,0)</f>
        <v/>
      </c>
      <c r="Q285" s="61" t="n"/>
    </row>
    <row r="286">
      <c r="A286" s="60" t="n"/>
      <c r="B286" s="61" t="n"/>
      <c r="C286" s="61" t="n"/>
      <c r="D286" s="61" t="n"/>
      <c r="E286" s="61" t="n"/>
      <c r="F286" s="61" t="n"/>
      <c r="G286" s="62" t="n"/>
      <c r="H286" s="63">
        <f>IF(A286="","",Settings!$B$4)</f>
        <v/>
      </c>
      <c r="I286" s="62">
        <f>IF(G286="","",IF(OR(B286="Revenue",K286="Yes"),ROUND(G286*H286,2),0))</f>
        <v/>
      </c>
      <c r="J286" s="62">
        <f>IF(G286="","",G286+ROUND(G286*H286,2))</f>
        <v/>
      </c>
      <c r="K286" s="61" t="n"/>
      <c r="L286" s="64">
        <f>IF(A286="","",DATE(YEAR(A286),MONTH(A286),1))</f>
        <v/>
      </c>
      <c r="M286" s="61" t="n"/>
      <c r="N286" s="65" t="n"/>
      <c r="O286" s="62">
        <f>IF(B286="Revenue",G286,0)</f>
        <v/>
      </c>
      <c r="P286" s="62">
        <f>IF(B286="Expense",G286,0)</f>
        <v/>
      </c>
      <c r="Q286" s="61" t="n"/>
    </row>
    <row r="287">
      <c r="A287" s="60" t="n"/>
      <c r="B287" s="61" t="n"/>
      <c r="C287" s="61" t="n"/>
      <c r="D287" s="61" t="n"/>
      <c r="E287" s="61" t="n"/>
      <c r="F287" s="61" t="n"/>
      <c r="G287" s="62" t="n"/>
      <c r="H287" s="63">
        <f>IF(A287="","",Settings!$B$4)</f>
        <v/>
      </c>
      <c r="I287" s="62">
        <f>IF(G287="","",IF(OR(B287="Revenue",K287="Yes"),ROUND(G287*H287,2),0))</f>
        <v/>
      </c>
      <c r="J287" s="62">
        <f>IF(G287="","",G287+ROUND(G287*H287,2))</f>
        <v/>
      </c>
      <c r="K287" s="61" t="n"/>
      <c r="L287" s="64">
        <f>IF(A287="","",DATE(YEAR(A287),MONTH(A287),1))</f>
        <v/>
      </c>
      <c r="M287" s="61" t="n"/>
      <c r="N287" s="65" t="n"/>
      <c r="O287" s="62">
        <f>IF(B287="Revenue",G287,0)</f>
        <v/>
      </c>
      <c r="P287" s="62">
        <f>IF(B287="Expense",G287,0)</f>
        <v/>
      </c>
      <c r="Q287" s="61" t="n"/>
    </row>
    <row r="288">
      <c r="A288" s="60" t="n"/>
      <c r="B288" s="61" t="n"/>
      <c r="C288" s="61" t="n"/>
      <c r="D288" s="61" t="n"/>
      <c r="E288" s="61" t="n"/>
      <c r="F288" s="61" t="n"/>
      <c r="G288" s="62" t="n"/>
      <c r="H288" s="63">
        <f>IF(A288="","",Settings!$B$4)</f>
        <v/>
      </c>
      <c r="I288" s="62">
        <f>IF(G288="","",IF(OR(B288="Revenue",K288="Yes"),ROUND(G288*H288,2),0))</f>
        <v/>
      </c>
      <c r="J288" s="62">
        <f>IF(G288="","",G288+ROUND(G288*H288,2))</f>
        <v/>
      </c>
      <c r="K288" s="61" t="n"/>
      <c r="L288" s="64">
        <f>IF(A288="","",DATE(YEAR(A288),MONTH(A288),1))</f>
        <v/>
      </c>
      <c r="M288" s="61" t="n"/>
      <c r="N288" s="65" t="n"/>
      <c r="O288" s="62">
        <f>IF(B288="Revenue",G288,0)</f>
        <v/>
      </c>
      <c r="P288" s="62">
        <f>IF(B288="Expense",G288,0)</f>
        <v/>
      </c>
      <c r="Q288" s="61" t="n"/>
    </row>
    <row r="289">
      <c r="A289" s="60" t="n"/>
      <c r="B289" s="61" t="n"/>
      <c r="C289" s="61" t="n"/>
      <c r="D289" s="61" t="n"/>
      <c r="E289" s="61" t="n"/>
      <c r="F289" s="61" t="n"/>
      <c r="G289" s="62" t="n"/>
      <c r="H289" s="63">
        <f>IF(A289="","",Settings!$B$4)</f>
        <v/>
      </c>
      <c r="I289" s="62">
        <f>IF(G289="","",IF(OR(B289="Revenue",K289="Yes"),ROUND(G289*H289,2),0))</f>
        <v/>
      </c>
      <c r="J289" s="62">
        <f>IF(G289="","",G289+ROUND(G289*H289,2))</f>
        <v/>
      </c>
      <c r="K289" s="61" t="n"/>
      <c r="L289" s="64">
        <f>IF(A289="","",DATE(YEAR(A289),MONTH(A289),1))</f>
        <v/>
      </c>
      <c r="M289" s="61" t="n"/>
      <c r="N289" s="65" t="n"/>
      <c r="O289" s="62">
        <f>IF(B289="Revenue",G289,0)</f>
        <v/>
      </c>
      <c r="P289" s="62">
        <f>IF(B289="Expense",G289,0)</f>
        <v/>
      </c>
      <c r="Q289" s="61" t="n"/>
    </row>
    <row r="290">
      <c r="A290" s="60" t="n"/>
      <c r="B290" s="61" t="n"/>
      <c r="C290" s="61" t="n"/>
      <c r="D290" s="61" t="n"/>
      <c r="E290" s="61" t="n"/>
      <c r="F290" s="61" t="n"/>
      <c r="G290" s="62" t="n"/>
      <c r="H290" s="63">
        <f>IF(A290="","",Settings!$B$4)</f>
        <v/>
      </c>
      <c r="I290" s="62">
        <f>IF(G290="","",IF(OR(B290="Revenue",K290="Yes"),ROUND(G290*H290,2),0))</f>
        <v/>
      </c>
      <c r="J290" s="62">
        <f>IF(G290="","",G290+ROUND(G290*H290,2))</f>
        <v/>
      </c>
      <c r="K290" s="61" t="n"/>
      <c r="L290" s="64">
        <f>IF(A290="","",DATE(YEAR(A290),MONTH(A290),1))</f>
        <v/>
      </c>
      <c r="M290" s="61" t="n"/>
      <c r="N290" s="65" t="n"/>
      <c r="O290" s="62">
        <f>IF(B290="Revenue",G290,0)</f>
        <v/>
      </c>
      <c r="P290" s="62">
        <f>IF(B290="Expense",G290,0)</f>
        <v/>
      </c>
      <c r="Q290" s="61" t="n"/>
    </row>
    <row r="291">
      <c r="A291" s="60" t="n"/>
      <c r="B291" s="61" t="n"/>
      <c r="C291" s="61" t="n"/>
      <c r="D291" s="61" t="n"/>
      <c r="E291" s="61" t="n"/>
      <c r="F291" s="61" t="n"/>
      <c r="G291" s="62" t="n"/>
      <c r="H291" s="63">
        <f>IF(A291="","",Settings!$B$4)</f>
        <v/>
      </c>
      <c r="I291" s="62">
        <f>IF(G291="","",IF(OR(B291="Revenue",K291="Yes"),ROUND(G291*H291,2),0))</f>
        <v/>
      </c>
      <c r="J291" s="62">
        <f>IF(G291="","",G291+ROUND(G291*H291,2))</f>
        <v/>
      </c>
      <c r="K291" s="61" t="n"/>
      <c r="L291" s="64">
        <f>IF(A291="","",DATE(YEAR(A291),MONTH(A291),1))</f>
        <v/>
      </c>
      <c r="M291" s="61" t="n"/>
      <c r="N291" s="65" t="n"/>
      <c r="O291" s="62">
        <f>IF(B291="Revenue",G291,0)</f>
        <v/>
      </c>
      <c r="P291" s="62">
        <f>IF(B291="Expense",G291,0)</f>
        <v/>
      </c>
      <c r="Q291" s="61" t="n"/>
    </row>
    <row r="292">
      <c r="A292" s="60" t="n"/>
      <c r="B292" s="61" t="n"/>
      <c r="C292" s="61" t="n"/>
      <c r="D292" s="61" t="n"/>
      <c r="E292" s="61" t="n"/>
      <c r="F292" s="61" t="n"/>
      <c r="G292" s="62" t="n"/>
      <c r="H292" s="63">
        <f>IF(A292="","",Settings!$B$4)</f>
        <v/>
      </c>
      <c r="I292" s="62">
        <f>IF(G292="","",IF(OR(B292="Revenue",K292="Yes"),ROUND(G292*H292,2),0))</f>
        <v/>
      </c>
      <c r="J292" s="62">
        <f>IF(G292="","",G292+ROUND(G292*H292,2))</f>
        <v/>
      </c>
      <c r="K292" s="61" t="n"/>
      <c r="L292" s="64">
        <f>IF(A292="","",DATE(YEAR(A292),MONTH(A292),1))</f>
        <v/>
      </c>
      <c r="M292" s="61" t="n"/>
      <c r="N292" s="65" t="n"/>
      <c r="O292" s="62">
        <f>IF(B292="Revenue",G292,0)</f>
        <v/>
      </c>
      <c r="P292" s="62">
        <f>IF(B292="Expense",G292,0)</f>
        <v/>
      </c>
      <c r="Q292" s="61" t="n"/>
    </row>
    <row r="293">
      <c r="A293" s="60" t="n"/>
      <c r="B293" s="61" t="n"/>
      <c r="C293" s="61" t="n"/>
      <c r="D293" s="61" t="n"/>
      <c r="E293" s="61" t="n"/>
      <c r="F293" s="61" t="n"/>
      <c r="G293" s="62" t="n"/>
      <c r="H293" s="63">
        <f>IF(A293="","",Settings!$B$4)</f>
        <v/>
      </c>
      <c r="I293" s="62">
        <f>IF(G293="","",IF(OR(B293="Revenue",K293="Yes"),ROUND(G293*H293,2),0))</f>
        <v/>
      </c>
      <c r="J293" s="62">
        <f>IF(G293="","",G293+ROUND(G293*H293,2))</f>
        <v/>
      </c>
      <c r="K293" s="61" t="n"/>
      <c r="L293" s="64">
        <f>IF(A293="","",DATE(YEAR(A293),MONTH(A293),1))</f>
        <v/>
      </c>
      <c r="M293" s="61" t="n"/>
      <c r="N293" s="65" t="n"/>
      <c r="O293" s="62">
        <f>IF(B293="Revenue",G293,0)</f>
        <v/>
      </c>
      <c r="P293" s="62">
        <f>IF(B293="Expense",G293,0)</f>
        <v/>
      </c>
      <c r="Q293" s="61" t="n"/>
    </row>
    <row r="294">
      <c r="A294" s="60" t="n"/>
      <c r="B294" s="61" t="n"/>
      <c r="C294" s="61" t="n"/>
      <c r="D294" s="61" t="n"/>
      <c r="E294" s="61" t="n"/>
      <c r="F294" s="61" t="n"/>
      <c r="G294" s="62" t="n"/>
      <c r="H294" s="63">
        <f>IF(A294="","",Settings!$B$4)</f>
        <v/>
      </c>
      <c r="I294" s="62">
        <f>IF(G294="","",IF(OR(B294="Revenue",K294="Yes"),ROUND(G294*H294,2),0))</f>
        <v/>
      </c>
      <c r="J294" s="62">
        <f>IF(G294="","",G294+ROUND(G294*H294,2))</f>
        <v/>
      </c>
      <c r="K294" s="61" t="n"/>
      <c r="L294" s="64">
        <f>IF(A294="","",DATE(YEAR(A294),MONTH(A294),1))</f>
        <v/>
      </c>
      <c r="M294" s="61" t="n"/>
      <c r="N294" s="65" t="n"/>
      <c r="O294" s="62">
        <f>IF(B294="Revenue",G294,0)</f>
        <v/>
      </c>
      <c r="P294" s="62">
        <f>IF(B294="Expense",G294,0)</f>
        <v/>
      </c>
      <c r="Q294" s="61" t="n"/>
    </row>
    <row r="295">
      <c r="A295" s="60" t="n"/>
      <c r="B295" s="61" t="n"/>
      <c r="C295" s="61" t="n"/>
      <c r="D295" s="61" t="n"/>
      <c r="E295" s="61" t="n"/>
      <c r="F295" s="61" t="n"/>
      <c r="G295" s="62" t="n"/>
      <c r="H295" s="63">
        <f>IF(A295="","",Settings!$B$4)</f>
        <v/>
      </c>
      <c r="I295" s="62">
        <f>IF(G295="","",IF(OR(B295="Revenue",K295="Yes"),ROUND(G295*H295,2),0))</f>
        <v/>
      </c>
      <c r="J295" s="62">
        <f>IF(G295="","",G295+ROUND(G295*H295,2))</f>
        <v/>
      </c>
      <c r="K295" s="61" t="n"/>
      <c r="L295" s="64">
        <f>IF(A295="","",DATE(YEAR(A295),MONTH(A295),1))</f>
        <v/>
      </c>
      <c r="M295" s="61" t="n"/>
      <c r="N295" s="65" t="n"/>
      <c r="O295" s="62">
        <f>IF(B295="Revenue",G295,0)</f>
        <v/>
      </c>
      <c r="P295" s="62">
        <f>IF(B295="Expense",G295,0)</f>
        <v/>
      </c>
      <c r="Q295" s="61" t="n"/>
    </row>
    <row r="296">
      <c r="A296" s="60" t="n"/>
      <c r="B296" s="61" t="n"/>
      <c r="C296" s="61" t="n"/>
      <c r="D296" s="61" t="n"/>
      <c r="E296" s="61" t="n"/>
      <c r="F296" s="61" t="n"/>
      <c r="G296" s="62" t="n"/>
      <c r="H296" s="63">
        <f>IF(A296="","",Settings!$B$4)</f>
        <v/>
      </c>
      <c r="I296" s="62">
        <f>IF(G296="","",IF(OR(B296="Revenue",K296="Yes"),ROUND(G296*H296,2),0))</f>
        <v/>
      </c>
      <c r="J296" s="62">
        <f>IF(G296="","",G296+ROUND(G296*H296,2))</f>
        <v/>
      </c>
      <c r="K296" s="61" t="n"/>
      <c r="L296" s="64">
        <f>IF(A296="","",DATE(YEAR(A296),MONTH(A296),1))</f>
        <v/>
      </c>
      <c r="M296" s="61" t="n"/>
      <c r="N296" s="65" t="n"/>
      <c r="O296" s="62">
        <f>IF(B296="Revenue",G296,0)</f>
        <v/>
      </c>
      <c r="P296" s="62">
        <f>IF(B296="Expense",G296,0)</f>
        <v/>
      </c>
      <c r="Q296" s="61" t="n"/>
    </row>
    <row r="297">
      <c r="A297" s="60" t="n"/>
      <c r="B297" s="61" t="n"/>
      <c r="C297" s="61" t="n"/>
      <c r="D297" s="61" t="n"/>
      <c r="E297" s="61" t="n"/>
      <c r="F297" s="61" t="n"/>
      <c r="G297" s="62" t="n"/>
      <c r="H297" s="63">
        <f>IF(A297="","",Settings!$B$4)</f>
        <v/>
      </c>
      <c r="I297" s="62">
        <f>IF(G297="","",IF(OR(B297="Revenue",K297="Yes"),ROUND(G297*H297,2),0))</f>
        <v/>
      </c>
      <c r="J297" s="62">
        <f>IF(G297="","",G297+ROUND(G297*H297,2))</f>
        <v/>
      </c>
      <c r="K297" s="61" t="n"/>
      <c r="L297" s="64">
        <f>IF(A297="","",DATE(YEAR(A297),MONTH(A297),1))</f>
        <v/>
      </c>
      <c r="M297" s="61" t="n"/>
      <c r="N297" s="65" t="n"/>
      <c r="O297" s="62">
        <f>IF(B297="Revenue",G297,0)</f>
        <v/>
      </c>
      <c r="P297" s="62">
        <f>IF(B297="Expense",G297,0)</f>
        <v/>
      </c>
      <c r="Q297" s="61" t="n"/>
    </row>
    <row r="298">
      <c r="A298" s="60" t="n"/>
      <c r="B298" s="61" t="n"/>
      <c r="C298" s="61" t="n"/>
      <c r="D298" s="61" t="n"/>
      <c r="E298" s="61" t="n"/>
      <c r="F298" s="61" t="n"/>
      <c r="G298" s="62" t="n"/>
      <c r="H298" s="63">
        <f>IF(A298="","",Settings!$B$4)</f>
        <v/>
      </c>
      <c r="I298" s="62">
        <f>IF(G298="","",IF(OR(B298="Revenue",K298="Yes"),ROUND(G298*H298,2),0))</f>
        <v/>
      </c>
      <c r="J298" s="62">
        <f>IF(G298="","",G298+ROUND(G298*H298,2))</f>
        <v/>
      </c>
      <c r="K298" s="61" t="n"/>
      <c r="L298" s="64">
        <f>IF(A298="","",DATE(YEAR(A298),MONTH(A298),1))</f>
        <v/>
      </c>
      <c r="M298" s="61" t="n"/>
      <c r="N298" s="65" t="n"/>
      <c r="O298" s="62">
        <f>IF(B298="Revenue",G298,0)</f>
        <v/>
      </c>
      <c r="P298" s="62">
        <f>IF(B298="Expense",G298,0)</f>
        <v/>
      </c>
      <c r="Q298" s="61" t="n"/>
    </row>
    <row r="300">
      <c r="A300" s="58" t="inlineStr">
        <is>
          <t>October 2026 / เดือน Oct</t>
        </is>
      </c>
    </row>
    <row r="301">
      <c r="A301" s="59" t="inlineStr">
        <is>
          <t>วันที่</t>
        </is>
      </c>
      <c r="B301" s="59" t="inlineStr">
        <is>
          <t>ประเภท</t>
        </is>
      </c>
      <c r="C301" s="59" t="inlineStr">
        <is>
          <t>เลขที่เอกสาร</t>
        </is>
      </c>
      <c r="D301" s="59" t="inlineStr">
        <is>
          <t>ลูกค้า/ผู้ขาย</t>
        </is>
      </c>
      <c r="E301" s="59" t="inlineStr">
        <is>
          <t>รายละเอียด</t>
        </is>
      </c>
      <c r="F301" s="59" t="inlineStr">
        <is>
          <t>หมวด</t>
        </is>
      </c>
      <c r="G301" s="59" t="inlineStr">
        <is>
          <t>ยอดก่อน VAT</t>
        </is>
      </c>
      <c r="H301" s="59" t="inlineStr">
        <is>
          <t>อัตรา VAT</t>
        </is>
      </c>
      <c r="I301" s="59" t="inlineStr">
        <is>
          <t>VAT</t>
        </is>
      </c>
      <c r="J301" s="59" t="inlineStr">
        <is>
          <t>ยอดรวม</t>
        </is>
      </c>
      <c r="K301" s="59" t="inlineStr">
        <is>
          <t>รับเงิน/ขอคืน VAT?</t>
        </is>
      </c>
      <c r="L301" s="59" t="inlineStr">
        <is>
          <t>เดือน</t>
        </is>
      </c>
      <c r="M301" s="59" t="inlineStr">
        <is>
          <t>ไฟล์เอกสาร</t>
        </is>
      </c>
      <c r="N301" s="59" t="inlineStr">
        <is>
          <t>OCR Confidence</t>
        </is>
      </c>
      <c r="O301" s="59" t="inlineStr">
        <is>
          <t>รายรับก่อน VAT</t>
        </is>
      </c>
      <c r="P301" s="59" t="inlineStr">
        <is>
          <t>ค่าใช้จ่ายก่อน VAT</t>
        </is>
      </c>
      <c r="Q301" s="59" t="inlineStr">
        <is>
          <t>หมายเหตุ</t>
        </is>
      </c>
      <c r="R301" s="74" t="inlineStr">
        <is>
          <t>ประเภทเอกสาร</t>
        </is>
      </c>
    </row>
    <row r="302">
      <c r="A302" s="60" t="n"/>
      <c r="B302" s="61" t="n"/>
      <c r="C302" s="61" t="n"/>
      <c r="D302" s="61" t="n"/>
      <c r="E302" s="61" t="n"/>
      <c r="F302" s="61" t="n"/>
      <c r="G302" s="62" t="n"/>
      <c r="H302" s="63">
        <f>IF(A302="","",Settings!$B$4)</f>
        <v/>
      </c>
      <c r="I302" s="62">
        <f>IF(G302="","",IF(OR(B302="Revenue",K302="Yes"),ROUND(G302*H302,2),0))</f>
        <v/>
      </c>
      <c r="J302" s="62">
        <f>IF(G302="","",G302+ROUND(G302*H302,2))</f>
        <v/>
      </c>
      <c r="K302" s="61" t="n"/>
      <c r="L302" s="64">
        <f>IF(A302="","",DATE(YEAR(A302),MONTH(A302),1))</f>
        <v/>
      </c>
      <c r="M302" s="61" t="n"/>
      <c r="N302" s="65" t="n"/>
      <c r="O302" s="62">
        <f>IF(B302="Revenue",G302,0)</f>
        <v/>
      </c>
      <c r="P302" s="62">
        <f>IF(B302="Expense",G302,0)</f>
        <v/>
      </c>
      <c r="Q302" s="61" t="n"/>
    </row>
    <row r="303">
      <c r="A303" s="60" t="n"/>
      <c r="B303" s="61" t="n"/>
      <c r="C303" s="61" t="n"/>
      <c r="D303" s="61" t="n"/>
      <c r="E303" s="61" t="n"/>
      <c r="F303" s="61" t="n"/>
      <c r="G303" s="62" t="n"/>
      <c r="H303" s="63">
        <f>IF(A303="","",Settings!$B$4)</f>
        <v/>
      </c>
      <c r="I303" s="62">
        <f>IF(G303="","",IF(OR(B303="Revenue",K303="Yes"),ROUND(G303*H303,2),0))</f>
        <v/>
      </c>
      <c r="J303" s="62">
        <f>IF(G303="","",G303+ROUND(G303*H303,2))</f>
        <v/>
      </c>
      <c r="K303" s="61" t="n"/>
      <c r="L303" s="64">
        <f>IF(A303="","",DATE(YEAR(A303),MONTH(A303),1))</f>
        <v/>
      </c>
      <c r="M303" s="61" t="n"/>
      <c r="N303" s="65" t="n"/>
      <c r="O303" s="62">
        <f>IF(B303="Revenue",G303,0)</f>
        <v/>
      </c>
      <c r="P303" s="62">
        <f>IF(B303="Expense",G303,0)</f>
        <v/>
      </c>
      <c r="Q303" s="61" t="n"/>
    </row>
    <row r="304">
      <c r="A304" s="60" t="n"/>
      <c r="B304" s="61" t="n"/>
      <c r="C304" s="61" t="n"/>
      <c r="D304" s="61" t="n"/>
      <c r="E304" s="61" t="n"/>
      <c r="F304" s="61" t="n"/>
      <c r="G304" s="62" t="n"/>
      <c r="H304" s="63">
        <f>IF(A304="","",Settings!$B$4)</f>
        <v/>
      </c>
      <c r="I304" s="62">
        <f>IF(G304="","",IF(OR(B304="Revenue",K304="Yes"),ROUND(G304*H304,2),0))</f>
        <v/>
      </c>
      <c r="J304" s="62">
        <f>IF(G304="","",G304+ROUND(G304*H304,2))</f>
        <v/>
      </c>
      <c r="K304" s="61" t="n"/>
      <c r="L304" s="64">
        <f>IF(A304="","",DATE(YEAR(A304),MONTH(A304),1))</f>
        <v/>
      </c>
      <c r="M304" s="61" t="n"/>
      <c r="N304" s="65" t="n"/>
      <c r="O304" s="62">
        <f>IF(B304="Revenue",G304,0)</f>
        <v/>
      </c>
      <c r="P304" s="62">
        <f>IF(B304="Expense",G304,0)</f>
        <v/>
      </c>
      <c r="Q304" s="61" t="n"/>
    </row>
    <row r="305">
      <c r="A305" s="60" t="n"/>
      <c r="B305" s="61" t="n"/>
      <c r="C305" s="61" t="n"/>
      <c r="D305" s="61" t="n"/>
      <c r="E305" s="61" t="n"/>
      <c r="F305" s="61" t="n"/>
      <c r="G305" s="62" t="n"/>
      <c r="H305" s="63">
        <f>IF(A305="","",Settings!$B$4)</f>
        <v/>
      </c>
      <c r="I305" s="62">
        <f>IF(G305="","",IF(OR(B305="Revenue",K305="Yes"),ROUND(G305*H305,2),0))</f>
        <v/>
      </c>
      <c r="J305" s="62">
        <f>IF(G305="","",G305+ROUND(G305*H305,2))</f>
        <v/>
      </c>
      <c r="K305" s="61" t="n"/>
      <c r="L305" s="64">
        <f>IF(A305="","",DATE(YEAR(A305),MONTH(A305),1))</f>
        <v/>
      </c>
      <c r="M305" s="61" t="n"/>
      <c r="N305" s="65" t="n"/>
      <c r="O305" s="62">
        <f>IF(B305="Revenue",G305,0)</f>
        <v/>
      </c>
      <c r="P305" s="62">
        <f>IF(B305="Expense",G305,0)</f>
        <v/>
      </c>
      <c r="Q305" s="61" t="n"/>
    </row>
    <row r="306">
      <c r="A306" s="60" t="n"/>
      <c r="B306" s="61" t="n"/>
      <c r="C306" s="61" t="n"/>
      <c r="D306" s="61" t="n"/>
      <c r="E306" s="61" t="n"/>
      <c r="F306" s="61" t="n"/>
      <c r="G306" s="62" t="n"/>
      <c r="H306" s="63">
        <f>IF(A306="","",Settings!$B$4)</f>
        <v/>
      </c>
      <c r="I306" s="62">
        <f>IF(G306="","",IF(OR(B306="Revenue",K306="Yes"),ROUND(G306*H306,2),0))</f>
        <v/>
      </c>
      <c r="J306" s="62">
        <f>IF(G306="","",G306+ROUND(G306*H306,2))</f>
        <v/>
      </c>
      <c r="K306" s="61" t="n"/>
      <c r="L306" s="64">
        <f>IF(A306="","",DATE(YEAR(A306),MONTH(A306),1))</f>
        <v/>
      </c>
      <c r="M306" s="61" t="n"/>
      <c r="N306" s="65" t="n"/>
      <c r="O306" s="62">
        <f>IF(B306="Revenue",G306,0)</f>
        <v/>
      </c>
      <c r="P306" s="62">
        <f>IF(B306="Expense",G306,0)</f>
        <v/>
      </c>
      <c r="Q306" s="61" t="n"/>
    </row>
    <row r="307">
      <c r="A307" s="60" t="n"/>
      <c r="B307" s="61" t="n"/>
      <c r="C307" s="61" t="n"/>
      <c r="D307" s="61" t="n"/>
      <c r="E307" s="61" t="n"/>
      <c r="F307" s="61" t="n"/>
      <c r="G307" s="62" t="n"/>
      <c r="H307" s="63">
        <f>IF(A307="","",Settings!$B$4)</f>
        <v/>
      </c>
      <c r="I307" s="62">
        <f>IF(G307="","",IF(OR(B307="Revenue",K307="Yes"),ROUND(G307*H307,2),0))</f>
        <v/>
      </c>
      <c r="J307" s="62">
        <f>IF(G307="","",G307+ROUND(G307*H307,2))</f>
        <v/>
      </c>
      <c r="K307" s="61" t="n"/>
      <c r="L307" s="64">
        <f>IF(A307="","",DATE(YEAR(A307),MONTH(A307),1))</f>
        <v/>
      </c>
      <c r="M307" s="61" t="n"/>
      <c r="N307" s="65" t="n"/>
      <c r="O307" s="62">
        <f>IF(B307="Revenue",G307,0)</f>
        <v/>
      </c>
      <c r="P307" s="62">
        <f>IF(B307="Expense",G307,0)</f>
        <v/>
      </c>
      <c r="Q307" s="61" t="n"/>
    </row>
    <row r="308">
      <c r="A308" s="60" t="n"/>
      <c r="B308" s="61" t="n"/>
      <c r="C308" s="61" t="n"/>
      <c r="D308" s="61" t="n"/>
      <c r="E308" s="61" t="n"/>
      <c r="F308" s="61" t="n"/>
      <c r="G308" s="62" t="n"/>
      <c r="H308" s="63">
        <f>IF(A308="","",Settings!$B$4)</f>
        <v/>
      </c>
      <c r="I308" s="62">
        <f>IF(G308="","",IF(OR(B308="Revenue",K308="Yes"),ROUND(G308*H308,2),0))</f>
        <v/>
      </c>
      <c r="J308" s="62">
        <f>IF(G308="","",G308+ROUND(G308*H308,2))</f>
        <v/>
      </c>
      <c r="K308" s="61" t="n"/>
      <c r="L308" s="64">
        <f>IF(A308="","",DATE(YEAR(A308),MONTH(A308),1))</f>
        <v/>
      </c>
      <c r="M308" s="61" t="n"/>
      <c r="N308" s="65" t="n"/>
      <c r="O308" s="62">
        <f>IF(B308="Revenue",G308,0)</f>
        <v/>
      </c>
      <c r="P308" s="62">
        <f>IF(B308="Expense",G308,0)</f>
        <v/>
      </c>
      <c r="Q308" s="61" t="n"/>
    </row>
    <row r="309">
      <c r="A309" s="60" t="n"/>
      <c r="B309" s="61" t="n"/>
      <c r="C309" s="61" t="n"/>
      <c r="D309" s="61" t="n"/>
      <c r="E309" s="61" t="n"/>
      <c r="F309" s="61" t="n"/>
      <c r="G309" s="62" t="n"/>
      <c r="H309" s="63">
        <f>IF(A309="","",Settings!$B$4)</f>
        <v/>
      </c>
      <c r="I309" s="62">
        <f>IF(G309="","",IF(OR(B309="Revenue",K309="Yes"),ROUND(G309*H309,2),0))</f>
        <v/>
      </c>
      <c r="J309" s="62">
        <f>IF(G309="","",G309+ROUND(G309*H309,2))</f>
        <v/>
      </c>
      <c r="K309" s="61" t="n"/>
      <c r="L309" s="64">
        <f>IF(A309="","",DATE(YEAR(A309),MONTH(A309),1))</f>
        <v/>
      </c>
      <c r="M309" s="61" t="n"/>
      <c r="N309" s="65" t="n"/>
      <c r="O309" s="62">
        <f>IF(B309="Revenue",G309,0)</f>
        <v/>
      </c>
      <c r="P309" s="62">
        <f>IF(B309="Expense",G309,0)</f>
        <v/>
      </c>
      <c r="Q309" s="61" t="n"/>
    </row>
    <row r="310">
      <c r="A310" s="60" t="n"/>
      <c r="B310" s="61" t="n"/>
      <c r="C310" s="61" t="n"/>
      <c r="D310" s="61" t="n"/>
      <c r="E310" s="61" t="n"/>
      <c r="F310" s="61" t="n"/>
      <c r="G310" s="62" t="n"/>
      <c r="H310" s="63">
        <f>IF(A310="","",Settings!$B$4)</f>
        <v/>
      </c>
      <c r="I310" s="62">
        <f>IF(G310="","",IF(OR(B310="Revenue",K310="Yes"),ROUND(G310*H310,2),0))</f>
        <v/>
      </c>
      <c r="J310" s="62">
        <f>IF(G310="","",G310+ROUND(G310*H310,2))</f>
        <v/>
      </c>
      <c r="K310" s="61" t="n"/>
      <c r="L310" s="64">
        <f>IF(A310="","",DATE(YEAR(A310),MONTH(A310),1))</f>
        <v/>
      </c>
      <c r="M310" s="61" t="n"/>
      <c r="N310" s="65" t="n"/>
      <c r="O310" s="62">
        <f>IF(B310="Revenue",G310,0)</f>
        <v/>
      </c>
      <c r="P310" s="62">
        <f>IF(B310="Expense",G310,0)</f>
        <v/>
      </c>
      <c r="Q310" s="61" t="n"/>
    </row>
    <row r="311">
      <c r="A311" s="60" t="n"/>
      <c r="B311" s="61" t="n"/>
      <c r="C311" s="61" t="n"/>
      <c r="D311" s="61" t="n"/>
      <c r="E311" s="61" t="n"/>
      <c r="F311" s="61" t="n"/>
      <c r="G311" s="62" t="n"/>
      <c r="H311" s="63">
        <f>IF(A311="","",Settings!$B$4)</f>
        <v/>
      </c>
      <c r="I311" s="62">
        <f>IF(G311="","",IF(OR(B311="Revenue",K311="Yes"),ROUND(G311*H311,2),0))</f>
        <v/>
      </c>
      <c r="J311" s="62">
        <f>IF(G311="","",G311+ROUND(G311*H311,2))</f>
        <v/>
      </c>
      <c r="K311" s="61" t="n"/>
      <c r="L311" s="64">
        <f>IF(A311="","",DATE(YEAR(A311),MONTH(A311),1))</f>
        <v/>
      </c>
      <c r="M311" s="61" t="n"/>
      <c r="N311" s="65" t="n"/>
      <c r="O311" s="62">
        <f>IF(B311="Revenue",G311,0)</f>
        <v/>
      </c>
      <c r="P311" s="62">
        <f>IF(B311="Expense",G311,0)</f>
        <v/>
      </c>
      <c r="Q311" s="61" t="n"/>
    </row>
    <row r="312">
      <c r="A312" s="60" t="n"/>
      <c r="B312" s="61" t="n"/>
      <c r="C312" s="61" t="n"/>
      <c r="D312" s="61" t="n"/>
      <c r="E312" s="61" t="n"/>
      <c r="F312" s="61" t="n"/>
      <c r="G312" s="62" t="n"/>
      <c r="H312" s="63">
        <f>IF(A312="","",Settings!$B$4)</f>
        <v/>
      </c>
      <c r="I312" s="62">
        <f>IF(G312="","",IF(OR(B312="Revenue",K312="Yes"),ROUND(G312*H312,2),0))</f>
        <v/>
      </c>
      <c r="J312" s="62">
        <f>IF(G312="","",G312+ROUND(G312*H312,2))</f>
        <v/>
      </c>
      <c r="K312" s="61" t="n"/>
      <c r="L312" s="64">
        <f>IF(A312="","",DATE(YEAR(A312),MONTH(A312),1))</f>
        <v/>
      </c>
      <c r="M312" s="61" t="n"/>
      <c r="N312" s="65" t="n"/>
      <c r="O312" s="62">
        <f>IF(B312="Revenue",G312,0)</f>
        <v/>
      </c>
      <c r="P312" s="62">
        <f>IF(B312="Expense",G312,0)</f>
        <v/>
      </c>
      <c r="Q312" s="61" t="n"/>
    </row>
    <row r="313">
      <c r="A313" s="60" t="n"/>
      <c r="B313" s="61" t="n"/>
      <c r="C313" s="61" t="n"/>
      <c r="D313" s="61" t="n"/>
      <c r="E313" s="61" t="n"/>
      <c r="F313" s="61" t="n"/>
      <c r="G313" s="62" t="n"/>
      <c r="H313" s="63">
        <f>IF(A313="","",Settings!$B$4)</f>
        <v/>
      </c>
      <c r="I313" s="62">
        <f>IF(G313="","",IF(OR(B313="Revenue",K313="Yes"),ROUND(G313*H313,2),0))</f>
        <v/>
      </c>
      <c r="J313" s="62">
        <f>IF(G313="","",G313+ROUND(G313*H313,2))</f>
        <v/>
      </c>
      <c r="K313" s="61" t="n"/>
      <c r="L313" s="64">
        <f>IF(A313="","",DATE(YEAR(A313),MONTH(A313),1))</f>
        <v/>
      </c>
      <c r="M313" s="61" t="n"/>
      <c r="N313" s="65" t="n"/>
      <c r="O313" s="62">
        <f>IF(B313="Revenue",G313,0)</f>
        <v/>
      </c>
      <c r="P313" s="62">
        <f>IF(B313="Expense",G313,0)</f>
        <v/>
      </c>
      <c r="Q313" s="61" t="n"/>
    </row>
    <row r="314">
      <c r="A314" s="60" t="n"/>
      <c r="B314" s="61" t="n"/>
      <c r="C314" s="61" t="n"/>
      <c r="D314" s="61" t="n"/>
      <c r="E314" s="61" t="n"/>
      <c r="F314" s="61" t="n"/>
      <c r="G314" s="62" t="n"/>
      <c r="H314" s="63">
        <f>IF(A314="","",Settings!$B$4)</f>
        <v/>
      </c>
      <c r="I314" s="62">
        <f>IF(G314="","",IF(OR(B314="Revenue",K314="Yes"),ROUND(G314*H314,2),0))</f>
        <v/>
      </c>
      <c r="J314" s="62">
        <f>IF(G314="","",G314+ROUND(G314*H314,2))</f>
        <v/>
      </c>
      <c r="K314" s="61" t="n"/>
      <c r="L314" s="64">
        <f>IF(A314="","",DATE(YEAR(A314),MONTH(A314),1))</f>
        <v/>
      </c>
      <c r="M314" s="61" t="n"/>
      <c r="N314" s="65" t="n"/>
      <c r="O314" s="62">
        <f>IF(B314="Revenue",G314,0)</f>
        <v/>
      </c>
      <c r="P314" s="62">
        <f>IF(B314="Expense",G314,0)</f>
        <v/>
      </c>
      <c r="Q314" s="61" t="n"/>
    </row>
    <row r="315">
      <c r="A315" s="60" t="n"/>
      <c r="B315" s="61" t="n"/>
      <c r="C315" s="61" t="n"/>
      <c r="D315" s="61" t="n"/>
      <c r="E315" s="61" t="n"/>
      <c r="F315" s="61" t="n"/>
      <c r="G315" s="62" t="n"/>
      <c r="H315" s="63">
        <f>IF(A315="","",Settings!$B$4)</f>
        <v/>
      </c>
      <c r="I315" s="62">
        <f>IF(G315="","",IF(OR(B315="Revenue",K315="Yes"),ROUND(G315*H315,2),0))</f>
        <v/>
      </c>
      <c r="J315" s="62">
        <f>IF(G315="","",G315+ROUND(G315*H315,2))</f>
        <v/>
      </c>
      <c r="K315" s="61" t="n"/>
      <c r="L315" s="64">
        <f>IF(A315="","",DATE(YEAR(A315),MONTH(A315),1))</f>
        <v/>
      </c>
      <c r="M315" s="61" t="n"/>
      <c r="N315" s="65" t="n"/>
      <c r="O315" s="62">
        <f>IF(B315="Revenue",G315,0)</f>
        <v/>
      </c>
      <c r="P315" s="62">
        <f>IF(B315="Expense",G315,0)</f>
        <v/>
      </c>
      <c r="Q315" s="61" t="n"/>
    </row>
    <row r="316">
      <c r="A316" s="60" t="n"/>
      <c r="B316" s="61" t="n"/>
      <c r="C316" s="61" t="n"/>
      <c r="D316" s="61" t="n"/>
      <c r="E316" s="61" t="n"/>
      <c r="F316" s="61" t="n"/>
      <c r="G316" s="62" t="n"/>
      <c r="H316" s="63">
        <f>IF(A316="","",Settings!$B$4)</f>
        <v/>
      </c>
      <c r="I316" s="62">
        <f>IF(G316="","",IF(OR(B316="Revenue",K316="Yes"),ROUND(G316*H316,2),0))</f>
        <v/>
      </c>
      <c r="J316" s="62">
        <f>IF(G316="","",G316+ROUND(G316*H316,2))</f>
        <v/>
      </c>
      <c r="K316" s="61" t="n"/>
      <c r="L316" s="64">
        <f>IF(A316="","",DATE(YEAR(A316),MONTH(A316),1))</f>
        <v/>
      </c>
      <c r="M316" s="61" t="n"/>
      <c r="N316" s="65" t="n"/>
      <c r="O316" s="62">
        <f>IF(B316="Revenue",G316,0)</f>
        <v/>
      </c>
      <c r="P316" s="62">
        <f>IF(B316="Expense",G316,0)</f>
        <v/>
      </c>
      <c r="Q316" s="61" t="n"/>
    </row>
    <row r="317">
      <c r="A317" s="60" t="n"/>
      <c r="B317" s="61" t="n"/>
      <c r="C317" s="61" t="n"/>
      <c r="D317" s="61" t="n"/>
      <c r="E317" s="61" t="n"/>
      <c r="F317" s="61" t="n"/>
      <c r="G317" s="62" t="n"/>
      <c r="H317" s="63">
        <f>IF(A317="","",Settings!$B$4)</f>
        <v/>
      </c>
      <c r="I317" s="62">
        <f>IF(G317="","",IF(OR(B317="Revenue",K317="Yes"),ROUND(G317*H317,2),0))</f>
        <v/>
      </c>
      <c r="J317" s="62">
        <f>IF(G317="","",G317+ROUND(G317*H317,2))</f>
        <v/>
      </c>
      <c r="K317" s="61" t="n"/>
      <c r="L317" s="64">
        <f>IF(A317="","",DATE(YEAR(A317),MONTH(A317),1))</f>
        <v/>
      </c>
      <c r="M317" s="61" t="n"/>
      <c r="N317" s="65" t="n"/>
      <c r="O317" s="62">
        <f>IF(B317="Revenue",G317,0)</f>
        <v/>
      </c>
      <c r="P317" s="62">
        <f>IF(B317="Expense",G317,0)</f>
        <v/>
      </c>
      <c r="Q317" s="61" t="n"/>
    </row>
    <row r="318">
      <c r="A318" s="60" t="n"/>
      <c r="B318" s="61" t="n"/>
      <c r="C318" s="61" t="n"/>
      <c r="D318" s="61" t="n"/>
      <c r="E318" s="61" t="n"/>
      <c r="F318" s="61" t="n"/>
      <c r="G318" s="62" t="n"/>
      <c r="H318" s="63">
        <f>IF(A318="","",Settings!$B$4)</f>
        <v/>
      </c>
      <c r="I318" s="62">
        <f>IF(G318="","",IF(OR(B318="Revenue",K318="Yes"),ROUND(G318*H318,2),0))</f>
        <v/>
      </c>
      <c r="J318" s="62">
        <f>IF(G318="","",G318+ROUND(G318*H318,2))</f>
        <v/>
      </c>
      <c r="K318" s="61" t="n"/>
      <c r="L318" s="64">
        <f>IF(A318="","",DATE(YEAR(A318),MONTH(A318),1))</f>
        <v/>
      </c>
      <c r="M318" s="61" t="n"/>
      <c r="N318" s="65" t="n"/>
      <c r="O318" s="62">
        <f>IF(B318="Revenue",G318,0)</f>
        <v/>
      </c>
      <c r="P318" s="62">
        <f>IF(B318="Expense",G318,0)</f>
        <v/>
      </c>
      <c r="Q318" s="61" t="n"/>
    </row>
    <row r="319">
      <c r="A319" s="60" t="n"/>
      <c r="B319" s="61" t="n"/>
      <c r="C319" s="61" t="n"/>
      <c r="D319" s="61" t="n"/>
      <c r="E319" s="61" t="n"/>
      <c r="F319" s="61" t="n"/>
      <c r="G319" s="62" t="n"/>
      <c r="H319" s="63">
        <f>IF(A319="","",Settings!$B$4)</f>
        <v/>
      </c>
      <c r="I319" s="62">
        <f>IF(G319="","",IF(OR(B319="Revenue",K319="Yes"),ROUND(G319*H319,2),0))</f>
        <v/>
      </c>
      <c r="J319" s="62">
        <f>IF(G319="","",G319+ROUND(G319*H319,2))</f>
        <v/>
      </c>
      <c r="K319" s="61" t="n"/>
      <c r="L319" s="64">
        <f>IF(A319="","",DATE(YEAR(A319),MONTH(A319),1))</f>
        <v/>
      </c>
      <c r="M319" s="61" t="n"/>
      <c r="N319" s="65" t="n"/>
      <c r="O319" s="62">
        <f>IF(B319="Revenue",G319,0)</f>
        <v/>
      </c>
      <c r="P319" s="62">
        <f>IF(B319="Expense",G319,0)</f>
        <v/>
      </c>
      <c r="Q319" s="61" t="n"/>
    </row>
    <row r="320">
      <c r="A320" s="60" t="n"/>
      <c r="B320" s="61" t="n"/>
      <c r="C320" s="61" t="n"/>
      <c r="D320" s="61" t="n"/>
      <c r="E320" s="61" t="n"/>
      <c r="F320" s="61" t="n"/>
      <c r="G320" s="62" t="n"/>
      <c r="H320" s="63">
        <f>IF(A320="","",Settings!$B$4)</f>
        <v/>
      </c>
      <c r="I320" s="62">
        <f>IF(G320="","",IF(OR(B320="Revenue",K320="Yes"),ROUND(G320*H320,2),0))</f>
        <v/>
      </c>
      <c r="J320" s="62">
        <f>IF(G320="","",G320+ROUND(G320*H320,2))</f>
        <v/>
      </c>
      <c r="K320" s="61" t="n"/>
      <c r="L320" s="64">
        <f>IF(A320="","",DATE(YEAR(A320),MONTH(A320),1))</f>
        <v/>
      </c>
      <c r="M320" s="61" t="n"/>
      <c r="N320" s="65" t="n"/>
      <c r="O320" s="62">
        <f>IF(B320="Revenue",G320,0)</f>
        <v/>
      </c>
      <c r="P320" s="62">
        <f>IF(B320="Expense",G320,0)</f>
        <v/>
      </c>
      <c r="Q320" s="61" t="n"/>
    </row>
    <row r="321">
      <c r="A321" s="60" t="n"/>
      <c r="B321" s="61" t="n"/>
      <c r="C321" s="61" t="n"/>
      <c r="D321" s="61" t="n"/>
      <c r="E321" s="61" t="n"/>
      <c r="F321" s="61" t="n"/>
      <c r="G321" s="62" t="n"/>
      <c r="H321" s="63">
        <f>IF(A321="","",Settings!$B$4)</f>
        <v/>
      </c>
      <c r="I321" s="62">
        <f>IF(G321="","",IF(OR(B321="Revenue",K321="Yes"),ROUND(G321*H321,2),0))</f>
        <v/>
      </c>
      <c r="J321" s="62">
        <f>IF(G321="","",G321+ROUND(G321*H321,2))</f>
        <v/>
      </c>
      <c r="K321" s="61" t="n"/>
      <c r="L321" s="64">
        <f>IF(A321="","",DATE(YEAR(A321),MONTH(A321),1))</f>
        <v/>
      </c>
      <c r="M321" s="61" t="n"/>
      <c r="N321" s="65" t="n"/>
      <c r="O321" s="62">
        <f>IF(B321="Revenue",G321,0)</f>
        <v/>
      </c>
      <c r="P321" s="62">
        <f>IF(B321="Expense",G321,0)</f>
        <v/>
      </c>
      <c r="Q321" s="61" t="n"/>
    </row>
    <row r="322">
      <c r="A322" s="60" t="n"/>
      <c r="B322" s="61" t="n"/>
      <c r="C322" s="61" t="n"/>
      <c r="D322" s="61" t="n"/>
      <c r="E322" s="61" t="n"/>
      <c r="F322" s="61" t="n"/>
      <c r="G322" s="62" t="n"/>
      <c r="H322" s="63">
        <f>IF(A322="","",Settings!$B$4)</f>
        <v/>
      </c>
      <c r="I322" s="62">
        <f>IF(G322="","",IF(OR(B322="Revenue",K322="Yes"),ROUND(G322*H322,2),0))</f>
        <v/>
      </c>
      <c r="J322" s="62">
        <f>IF(G322="","",G322+ROUND(G322*H322,2))</f>
        <v/>
      </c>
      <c r="K322" s="61" t="n"/>
      <c r="L322" s="64">
        <f>IF(A322="","",DATE(YEAR(A322),MONTH(A322),1))</f>
        <v/>
      </c>
      <c r="M322" s="61" t="n"/>
      <c r="N322" s="65" t="n"/>
      <c r="O322" s="62">
        <f>IF(B322="Revenue",G322,0)</f>
        <v/>
      </c>
      <c r="P322" s="62">
        <f>IF(B322="Expense",G322,0)</f>
        <v/>
      </c>
      <c r="Q322" s="61" t="n"/>
    </row>
    <row r="323">
      <c r="A323" s="60" t="n"/>
      <c r="B323" s="61" t="n"/>
      <c r="C323" s="61" t="n"/>
      <c r="D323" s="61" t="n"/>
      <c r="E323" s="61" t="n"/>
      <c r="F323" s="61" t="n"/>
      <c r="G323" s="62" t="n"/>
      <c r="H323" s="63">
        <f>IF(A323="","",Settings!$B$4)</f>
        <v/>
      </c>
      <c r="I323" s="62">
        <f>IF(G323="","",IF(OR(B323="Revenue",K323="Yes"),ROUND(G323*H323,2),0))</f>
        <v/>
      </c>
      <c r="J323" s="62">
        <f>IF(G323="","",G323+ROUND(G323*H323,2))</f>
        <v/>
      </c>
      <c r="K323" s="61" t="n"/>
      <c r="L323" s="64">
        <f>IF(A323="","",DATE(YEAR(A323),MONTH(A323),1))</f>
        <v/>
      </c>
      <c r="M323" s="61" t="n"/>
      <c r="N323" s="65" t="n"/>
      <c r="O323" s="62">
        <f>IF(B323="Revenue",G323,0)</f>
        <v/>
      </c>
      <c r="P323" s="62">
        <f>IF(B323="Expense",G323,0)</f>
        <v/>
      </c>
      <c r="Q323" s="61" t="n"/>
    </row>
    <row r="324">
      <c r="A324" s="60" t="n"/>
      <c r="B324" s="61" t="n"/>
      <c r="C324" s="61" t="n"/>
      <c r="D324" s="61" t="n"/>
      <c r="E324" s="61" t="n"/>
      <c r="F324" s="61" t="n"/>
      <c r="G324" s="62" t="n"/>
      <c r="H324" s="63">
        <f>IF(A324="","",Settings!$B$4)</f>
        <v/>
      </c>
      <c r="I324" s="62">
        <f>IF(G324="","",IF(OR(B324="Revenue",K324="Yes"),ROUND(G324*H324,2),0))</f>
        <v/>
      </c>
      <c r="J324" s="62">
        <f>IF(G324="","",G324+ROUND(G324*H324,2))</f>
        <v/>
      </c>
      <c r="K324" s="61" t="n"/>
      <c r="L324" s="64">
        <f>IF(A324="","",DATE(YEAR(A324),MONTH(A324),1))</f>
        <v/>
      </c>
      <c r="M324" s="61" t="n"/>
      <c r="N324" s="65" t="n"/>
      <c r="O324" s="62">
        <f>IF(B324="Revenue",G324,0)</f>
        <v/>
      </c>
      <c r="P324" s="62">
        <f>IF(B324="Expense",G324,0)</f>
        <v/>
      </c>
      <c r="Q324" s="61" t="n"/>
    </row>
    <row r="325">
      <c r="A325" s="60" t="n"/>
      <c r="B325" s="61" t="n"/>
      <c r="C325" s="61" t="n"/>
      <c r="D325" s="61" t="n"/>
      <c r="E325" s="61" t="n"/>
      <c r="F325" s="61" t="n"/>
      <c r="G325" s="62" t="n"/>
      <c r="H325" s="63">
        <f>IF(A325="","",Settings!$B$4)</f>
        <v/>
      </c>
      <c r="I325" s="62">
        <f>IF(G325="","",IF(OR(B325="Revenue",K325="Yes"),ROUND(G325*H325,2),0))</f>
        <v/>
      </c>
      <c r="J325" s="62">
        <f>IF(G325="","",G325+ROUND(G325*H325,2))</f>
        <v/>
      </c>
      <c r="K325" s="61" t="n"/>
      <c r="L325" s="64">
        <f>IF(A325="","",DATE(YEAR(A325),MONTH(A325),1))</f>
        <v/>
      </c>
      <c r="M325" s="61" t="n"/>
      <c r="N325" s="65" t="n"/>
      <c r="O325" s="62">
        <f>IF(B325="Revenue",G325,0)</f>
        <v/>
      </c>
      <c r="P325" s="62">
        <f>IF(B325="Expense",G325,0)</f>
        <v/>
      </c>
      <c r="Q325" s="61" t="n"/>
    </row>
    <row r="326">
      <c r="A326" s="60" t="n"/>
      <c r="B326" s="61" t="n"/>
      <c r="C326" s="61" t="n"/>
      <c r="D326" s="61" t="n"/>
      <c r="E326" s="61" t="n"/>
      <c r="F326" s="61" t="n"/>
      <c r="G326" s="62" t="n"/>
      <c r="H326" s="63">
        <f>IF(A326="","",Settings!$B$4)</f>
        <v/>
      </c>
      <c r="I326" s="62">
        <f>IF(G326="","",IF(OR(B326="Revenue",K326="Yes"),ROUND(G326*H326,2),0))</f>
        <v/>
      </c>
      <c r="J326" s="62">
        <f>IF(G326="","",G326+ROUND(G326*H326,2))</f>
        <v/>
      </c>
      <c r="K326" s="61" t="n"/>
      <c r="L326" s="64">
        <f>IF(A326="","",DATE(YEAR(A326),MONTH(A326),1))</f>
        <v/>
      </c>
      <c r="M326" s="61" t="n"/>
      <c r="N326" s="65" t="n"/>
      <c r="O326" s="62">
        <f>IF(B326="Revenue",G326,0)</f>
        <v/>
      </c>
      <c r="P326" s="62">
        <f>IF(B326="Expense",G326,0)</f>
        <v/>
      </c>
      <c r="Q326" s="61" t="n"/>
    </row>
    <row r="327">
      <c r="A327" s="60" t="n"/>
      <c r="B327" s="61" t="n"/>
      <c r="C327" s="61" t="n"/>
      <c r="D327" s="61" t="n"/>
      <c r="E327" s="61" t="n"/>
      <c r="F327" s="61" t="n"/>
      <c r="G327" s="62" t="n"/>
      <c r="H327" s="63">
        <f>IF(A327="","",Settings!$B$4)</f>
        <v/>
      </c>
      <c r="I327" s="62">
        <f>IF(G327="","",IF(OR(B327="Revenue",K327="Yes"),ROUND(G327*H327,2),0))</f>
        <v/>
      </c>
      <c r="J327" s="62">
        <f>IF(G327="","",G327+ROUND(G327*H327,2))</f>
        <v/>
      </c>
      <c r="K327" s="61" t="n"/>
      <c r="L327" s="64">
        <f>IF(A327="","",DATE(YEAR(A327),MONTH(A327),1))</f>
        <v/>
      </c>
      <c r="M327" s="61" t="n"/>
      <c r="N327" s="65" t="n"/>
      <c r="O327" s="62">
        <f>IF(B327="Revenue",G327,0)</f>
        <v/>
      </c>
      <c r="P327" s="62">
        <f>IF(B327="Expense",G327,0)</f>
        <v/>
      </c>
      <c r="Q327" s="61" t="n"/>
    </row>
    <row r="328">
      <c r="A328" s="60" t="n"/>
      <c r="B328" s="61" t="n"/>
      <c r="C328" s="61" t="n"/>
      <c r="D328" s="61" t="n"/>
      <c r="E328" s="61" t="n"/>
      <c r="F328" s="61" t="n"/>
      <c r="G328" s="62" t="n"/>
      <c r="H328" s="63">
        <f>IF(A328="","",Settings!$B$4)</f>
        <v/>
      </c>
      <c r="I328" s="62">
        <f>IF(G328="","",IF(OR(B328="Revenue",K328="Yes"),ROUND(G328*H328,2),0))</f>
        <v/>
      </c>
      <c r="J328" s="62">
        <f>IF(G328="","",G328+ROUND(G328*H328,2))</f>
        <v/>
      </c>
      <c r="K328" s="61" t="n"/>
      <c r="L328" s="64">
        <f>IF(A328="","",DATE(YEAR(A328),MONTH(A328),1))</f>
        <v/>
      </c>
      <c r="M328" s="61" t="n"/>
      <c r="N328" s="65" t="n"/>
      <c r="O328" s="62">
        <f>IF(B328="Revenue",G328,0)</f>
        <v/>
      </c>
      <c r="P328" s="62">
        <f>IF(B328="Expense",G328,0)</f>
        <v/>
      </c>
      <c r="Q328" s="61" t="n"/>
    </row>
    <row r="329">
      <c r="A329" s="60" t="n"/>
      <c r="B329" s="61" t="n"/>
      <c r="C329" s="61" t="n"/>
      <c r="D329" s="61" t="n"/>
      <c r="E329" s="61" t="n"/>
      <c r="F329" s="61" t="n"/>
      <c r="G329" s="62" t="n"/>
      <c r="H329" s="63">
        <f>IF(A329="","",Settings!$B$4)</f>
        <v/>
      </c>
      <c r="I329" s="62">
        <f>IF(G329="","",IF(OR(B329="Revenue",K329="Yes"),ROUND(G329*H329,2),0))</f>
        <v/>
      </c>
      <c r="J329" s="62">
        <f>IF(G329="","",G329+ROUND(G329*H329,2))</f>
        <v/>
      </c>
      <c r="K329" s="61" t="n"/>
      <c r="L329" s="64">
        <f>IF(A329="","",DATE(YEAR(A329),MONTH(A329),1))</f>
        <v/>
      </c>
      <c r="M329" s="61" t="n"/>
      <c r="N329" s="65" t="n"/>
      <c r="O329" s="62">
        <f>IF(B329="Revenue",G329,0)</f>
        <v/>
      </c>
      <c r="P329" s="62">
        <f>IF(B329="Expense",G329,0)</f>
        <v/>
      </c>
      <c r="Q329" s="61" t="n"/>
    </row>
    <row r="330">
      <c r="A330" s="60" t="n"/>
      <c r="B330" s="61" t="n"/>
      <c r="C330" s="61" t="n"/>
      <c r="D330" s="61" t="n"/>
      <c r="E330" s="61" t="n"/>
      <c r="F330" s="61" t="n"/>
      <c r="G330" s="62" t="n"/>
      <c r="H330" s="63">
        <f>IF(A330="","",Settings!$B$4)</f>
        <v/>
      </c>
      <c r="I330" s="62">
        <f>IF(G330="","",IF(OR(B330="Revenue",K330="Yes"),ROUND(G330*H330,2),0))</f>
        <v/>
      </c>
      <c r="J330" s="62">
        <f>IF(G330="","",G330+ROUND(G330*H330,2))</f>
        <v/>
      </c>
      <c r="K330" s="61" t="n"/>
      <c r="L330" s="64">
        <f>IF(A330="","",DATE(YEAR(A330),MONTH(A330),1))</f>
        <v/>
      </c>
      <c r="M330" s="61" t="n"/>
      <c r="N330" s="65" t="n"/>
      <c r="O330" s="62">
        <f>IF(B330="Revenue",G330,0)</f>
        <v/>
      </c>
      <c r="P330" s="62">
        <f>IF(B330="Expense",G330,0)</f>
        <v/>
      </c>
      <c r="Q330" s="61" t="n"/>
    </row>
    <row r="331">
      <c r="A331" s="60" t="n"/>
      <c r="B331" s="61" t="n"/>
      <c r="C331" s="61" t="n"/>
      <c r="D331" s="61" t="n"/>
      <c r="E331" s="61" t="n"/>
      <c r="F331" s="61" t="n"/>
      <c r="G331" s="62" t="n"/>
      <c r="H331" s="63">
        <f>IF(A331="","",Settings!$B$4)</f>
        <v/>
      </c>
      <c r="I331" s="62">
        <f>IF(G331="","",IF(OR(B331="Revenue",K331="Yes"),ROUND(G331*H331,2),0))</f>
        <v/>
      </c>
      <c r="J331" s="62">
        <f>IF(G331="","",G331+ROUND(G331*H331,2))</f>
        <v/>
      </c>
      <c r="K331" s="61" t="n"/>
      <c r="L331" s="64">
        <f>IF(A331="","",DATE(YEAR(A331),MONTH(A331),1))</f>
        <v/>
      </c>
      <c r="M331" s="61" t="n"/>
      <c r="N331" s="65" t="n"/>
      <c r="O331" s="62">
        <f>IF(B331="Revenue",G331,0)</f>
        <v/>
      </c>
      <c r="P331" s="62">
        <f>IF(B331="Expense",G331,0)</f>
        <v/>
      </c>
      <c r="Q331" s="61" t="n"/>
    </row>
    <row r="333">
      <c r="A333" s="58" t="inlineStr">
        <is>
          <t>November 2026 / เดือน Nov</t>
        </is>
      </c>
    </row>
    <row r="334">
      <c r="A334" s="59" t="inlineStr">
        <is>
          <t>วันที่</t>
        </is>
      </c>
      <c r="B334" s="59" t="inlineStr">
        <is>
          <t>ประเภท</t>
        </is>
      </c>
      <c r="C334" s="59" t="inlineStr">
        <is>
          <t>เลขที่เอกสาร</t>
        </is>
      </c>
      <c r="D334" s="59" t="inlineStr">
        <is>
          <t>ลูกค้า/ผู้ขาย</t>
        </is>
      </c>
      <c r="E334" s="59" t="inlineStr">
        <is>
          <t>รายละเอียด</t>
        </is>
      </c>
      <c r="F334" s="59" t="inlineStr">
        <is>
          <t>หมวด</t>
        </is>
      </c>
      <c r="G334" s="59" t="inlineStr">
        <is>
          <t>ยอดก่อน VAT</t>
        </is>
      </c>
      <c r="H334" s="59" t="inlineStr">
        <is>
          <t>อัตรา VAT</t>
        </is>
      </c>
      <c r="I334" s="59" t="inlineStr">
        <is>
          <t>VAT</t>
        </is>
      </c>
      <c r="J334" s="59" t="inlineStr">
        <is>
          <t>ยอดรวม</t>
        </is>
      </c>
      <c r="K334" s="59" t="inlineStr">
        <is>
          <t>รับเงิน/ขอคืน VAT?</t>
        </is>
      </c>
      <c r="L334" s="59" t="inlineStr">
        <is>
          <t>เดือน</t>
        </is>
      </c>
      <c r="M334" s="59" t="inlineStr">
        <is>
          <t>ไฟล์เอกสาร</t>
        </is>
      </c>
      <c r="N334" s="59" t="inlineStr">
        <is>
          <t>OCR Confidence</t>
        </is>
      </c>
      <c r="O334" s="59" t="inlineStr">
        <is>
          <t>รายรับก่อน VAT</t>
        </is>
      </c>
      <c r="P334" s="59" t="inlineStr">
        <is>
          <t>ค่าใช้จ่ายก่อน VAT</t>
        </is>
      </c>
      <c r="Q334" s="59" t="inlineStr">
        <is>
          <t>หมายเหตุ</t>
        </is>
      </c>
      <c r="R334" s="74" t="inlineStr">
        <is>
          <t>ประเภทเอกสาร</t>
        </is>
      </c>
    </row>
    <row r="335">
      <c r="A335" s="60" t="n"/>
      <c r="B335" s="61" t="n"/>
      <c r="C335" s="61" t="n"/>
      <c r="D335" s="61" t="n"/>
      <c r="E335" s="61" t="n"/>
      <c r="F335" s="61" t="n"/>
      <c r="G335" s="62" t="n"/>
      <c r="H335" s="63">
        <f>IF(A335="","",Settings!$B$4)</f>
        <v/>
      </c>
      <c r="I335" s="62">
        <f>IF(G335="","",IF(OR(B335="Revenue",K335="Yes"),ROUND(G335*H335,2),0))</f>
        <v/>
      </c>
      <c r="J335" s="62">
        <f>IF(G335="","",G335+ROUND(G335*H335,2))</f>
        <v/>
      </c>
      <c r="K335" s="61" t="n"/>
      <c r="L335" s="64">
        <f>IF(A335="","",DATE(YEAR(A335),MONTH(A335),1))</f>
        <v/>
      </c>
      <c r="M335" s="61" t="n"/>
      <c r="N335" s="65" t="n"/>
      <c r="O335" s="62">
        <f>IF(B335="Revenue",G335,0)</f>
        <v/>
      </c>
      <c r="P335" s="62">
        <f>IF(B335="Expense",G335,0)</f>
        <v/>
      </c>
      <c r="Q335" s="61" t="n"/>
    </row>
    <row r="336">
      <c r="A336" s="60" t="n"/>
      <c r="B336" s="61" t="n"/>
      <c r="C336" s="61" t="n"/>
      <c r="D336" s="61" t="n"/>
      <c r="E336" s="61" t="n"/>
      <c r="F336" s="61" t="n"/>
      <c r="G336" s="62" t="n"/>
      <c r="H336" s="63">
        <f>IF(A336="","",Settings!$B$4)</f>
        <v/>
      </c>
      <c r="I336" s="62">
        <f>IF(G336="","",IF(OR(B336="Revenue",K336="Yes"),ROUND(G336*H336,2),0))</f>
        <v/>
      </c>
      <c r="J336" s="62">
        <f>IF(G336="","",G336+ROUND(G336*H336,2))</f>
        <v/>
      </c>
      <c r="K336" s="61" t="n"/>
      <c r="L336" s="64">
        <f>IF(A336="","",DATE(YEAR(A336),MONTH(A336),1))</f>
        <v/>
      </c>
      <c r="M336" s="61" t="n"/>
      <c r="N336" s="65" t="n"/>
      <c r="O336" s="62">
        <f>IF(B336="Revenue",G336,0)</f>
        <v/>
      </c>
      <c r="P336" s="62">
        <f>IF(B336="Expense",G336,0)</f>
        <v/>
      </c>
      <c r="Q336" s="61" t="n"/>
    </row>
    <row r="337">
      <c r="A337" s="60" t="n"/>
      <c r="B337" s="61" t="n"/>
      <c r="C337" s="61" t="n"/>
      <c r="D337" s="61" t="n"/>
      <c r="E337" s="61" t="n"/>
      <c r="F337" s="61" t="n"/>
      <c r="G337" s="62" t="n"/>
      <c r="H337" s="63">
        <f>IF(A337="","",Settings!$B$4)</f>
        <v/>
      </c>
      <c r="I337" s="62">
        <f>IF(G337="","",IF(OR(B337="Revenue",K337="Yes"),ROUND(G337*H337,2),0))</f>
        <v/>
      </c>
      <c r="J337" s="62">
        <f>IF(G337="","",G337+ROUND(G337*H337,2))</f>
        <v/>
      </c>
      <c r="K337" s="61" t="n"/>
      <c r="L337" s="64">
        <f>IF(A337="","",DATE(YEAR(A337),MONTH(A337),1))</f>
        <v/>
      </c>
      <c r="M337" s="61" t="n"/>
      <c r="N337" s="65" t="n"/>
      <c r="O337" s="62">
        <f>IF(B337="Revenue",G337,0)</f>
        <v/>
      </c>
      <c r="P337" s="62">
        <f>IF(B337="Expense",G337,0)</f>
        <v/>
      </c>
      <c r="Q337" s="61" t="n"/>
    </row>
    <row r="338">
      <c r="A338" s="60" t="n"/>
      <c r="B338" s="61" t="n"/>
      <c r="C338" s="61" t="n"/>
      <c r="D338" s="61" t="n"/>
      <c r="E338" s="61" t="n"/>
      <c r="F338" s="61" t="n"/>
      <c r="G338" s="62" t="n"/>
      <c r="H338" s="63">
        <f>IF(A338="","",Settings!$B$4)</f>
        <v/>
      </c>
      <c r="I338" s="62">
        <f>IF(G338="","",IF(OR(B338="Revenue",K338="Yes"),ROUND(G338*H338,2),0))</f>
        <v/>
      </c>
      <c r="J338" s="62">
        <f>IF(G338="","",G338+ROUND(G338*H338,2))</f>
        <v/>
      </c>
      <c r="K338" s="61" t="n"/>
      <c r="L338" s="64">
        <f>IF(A338="","",DATE(YEAR(A338),MONTH(A338),1))</f>
        <v/>
      </c>
      <c r="M338" s="61" t="n"/>
      <c r="N338" s="65" t="n"/>
      <c r="O338" s="62">
        <f>IF(B338="Revenue",G338,0)</f>
        <v/>
      </c>
      <c r="P338" s="62">
        <f>IF(B338="Expense",G338,0)</f>
        <v/>
      </c>
      <c r="Q338" s="61" t="n"/>
    </row>
    <row r="339">
      <c r="A339" s="60" t="n"/>
      <c r="B339" s="61" t="n"/>
      <c r="C339" s="61" t="n"/>
      <c r="D339" s="61" t="n"/>
      <c r="E339" s="61" t="n"/>
      <c r="F339" s="61" t="n"/>
      <c r="G339" s="62" t="n"/>
      <c r="H339" s="63">
        <f>IF(A339="","",Settings!$B$4)</f>
        <v/>
      </c>
      <c r="I339" s="62">
        <f>IF(G339="","",IF(OR(B339="Revenue",K339="Yes"),ROUND(G339*H339,2),0))</f>
        <v/>
      </c>
      <c r="J339" s="62">
        <f>IF(G339="","",G339+ROUND(G339*H339,2))</f>
        <v/>
      </c>
      <c r="K339" s="61" t="n"/>
      <c r="L339" s="64">
        <f>IF(A339="","",DATE(YEAR(A339),MONTH(A339),1))</f>
        <v/>
      </c>
      <c r="M339" s="61" t="n"/>
      <c r="N339" s="65" t="n"/>
      <c r="O339" s="62">
        <f>IF(B339="Revenue",G339,0)</f>
        <v/>
      </c>
      <c r="P339" s="62">
        <f>IF(B339="Expense",G339,0)</f>
        <v/>
      </c>
      <c r="Q339" s="61" t="n"/>
    </row>
    <row r="340">
      <c r="A340" s="60" t="n"/>
      <c r="B340" s="61" t="n"/>
      <c r="C340" s="61" t="n"/>
      <c r="D340" s="61" t="n"/>
      <c r="E340" s="61" t="n"/>
      <c r="F340" s="61" t="n"/>
      <c r="G340" s="62" t="n"/>
      <c r="H340" s="63">
        <f>IF(A340="","",Settings!$B$4)</f>
        <v/>
      </c>
      <c r="I340" s="62">
        <f>IF(G340="","",IF(OR(B340="Revenue",K340="Yes"),ROUND(G340*H340,2),0))</f>
        <v/>
      </c>
      <c r="J340" s="62">
        <f>IF(G340="","",G340+ROUND(G340*H340,2))</f>
        <v/>
      </c>
      <c r="K340" s="61" t="n"/>
      <c r="L340" s="64">
        <f>IF(A340="","",DATE(YEAR(A340),MONTH(A340),1))</f>
        <v/>
      </c>
      <c r="M340" s="61" t="n"/>
      <c r="N340" s="65" t="n"/>
      <c r="O340" s="62">
        <f>IF(B340="Revenue",G340,0)</f>
        <v/>
      </c>
      <c r="P340" s="62">
        <f>IF(B340="Expense",G340,0)</f>
        <v/>
      </c>
      <c r="Q340" s="61" t="n"/>
    </row>
    <row r="341">
      <c r="A341" s="60" t="n"/>
      <c r="B341" s="61" t="n"/>
      <c r="C341" s="61" t="n"/>
      <c r="D341" s="61" t="n"/>
      <c r="E341" s="61" t="n"/>
      <c r="F341" s="61" t="n"/>
      <c r="G341" s="62" t="n"/>
      <c r="H341" s="63">
        <f>IF(A341="","",Settings!$B$4)</f>
        <v/>
      </c>
      <c r="I341" s="62">
        <f>IF(G341="","",IF(OR(B341="Revenue",K341="Yes"),ROUND(G341*H341,2),0))</f>
        <v/>
      </c>
      <c r="J341" s="62">
        <f>IF(G341="","",G341+ROUND(G341*H341,2))</f>
        <v/>
      </c>
      <c r="K341" s="61" t="n"/>
      <c r="L341" s="64">
        <f>IF(A341="","",DATE(YEAR(A341),MONTH(A341),1))</f>
        <v/>
      </c>
      <c r="M341" s="61" t="n"/>
      <c r="N341" s="65" t="n"/>
      <c r="O341" s="62">
        <f>IF(B341="Revenue",G341,0)</f>
        <v/>
      </c>
      <c r="P341" s="62">
        <f>IF(B341="Expense",G341,0)</f>
        <v/>
      </c>
      <c r="Q341" s="61" t="n"/>
    </row>
    <row r="342">
      <c r="A342" s="60" t="n"/>
      <c r="B342" s="61" t="n"/>
      <c r="C342" s="61" t="n"/>
      <c r="D342" s="61" t="n"/>
      <c r="E342" s="61" t="n"/>
      <c r="F342" s="61" t="n"/>
      <c r="G342" s="62" t="n"/>
      <c r="H342" s="63">
        <f>IF(A342="","",Settings!$B$4)</f>
        <v/>
      </c>
      <c r="I342" s="62">
        <f>IF(G342="","",IF(OR(B342="Revenue",K342="Yes"),ROUND(G342*H342,2),0))</f>
        <v/>
      </c>
      <c r="J342" s="62">
        <f>IF(G342="","",G342+ROUND(G342*H342,2))</f>
        <v/>
      </c>
      <c r="K342" s="61" t="n"/>
      <c r="L342" s="64">
        <f>IF(A342="","",DATE(YEAR(A342),MONTH(A342),1))</f>
        <v/>
      </c>
      <c r="M342" s="61" t="n"/>
      <c r="N342" s="65" t="n"/>
      <c r="O342" s="62">
        <f>IF(B342="Revenue",G342,0)</f>
        <v/>
      </c>
      <c r="P342" s="62">
        <f>IF(B342="Expense",G342,0)</f>
        <v/>
      </c>
      <c r="Q342" s="61" t="n"/>
    </row>
    <row r="343">
      <c r="A343" s="60" t="n"/>
      <c r="B343" s="61" t="n"/>
      <c r="C343" s="61" t="n"/>
      <c r="D343" s="61" t="n"/>
      <c r="E343" s="61" t="n"/>
      <c r="F343" s="61" t="n"/>
      <c r="G343" s="62" t="n"/>
      <c r="H343" s="63">
        <f>IF(A343="","",Settings!$B$4)</f>
        <v/>
      </c>
      <c r="I343" s="62">
        <f>IF(G343="","",IF(OR(B343="Revenue",K343="Yes"),ROUND(G343*H343,2),0))</f>
        <v/>
      </c>
      <c r="J343" s="62">
        <f>IF(G343="","",G343+ROUND(G343*H343,2))</f>
        <v/>
      </c>
      <c r="K343" s="61" t="n"/>
      <c r="L343" s="64">
        <f>IF(A343="","",DATE(YEAR(A343),MONTH(A343),1))</f>
        <v/>
      </c>
      <c r="M343" s="61" t="n"/>
      <c r="N343" s="65" t="n"/>
      <c r="O343" s="62">
        <f>IF(B343="Revenue",G343,0)</f>
        <v/>
      </c>
      <c r="P343" s="62">
        <f>IF(B343="Expense",G343,0)</f>
        <v/>
      </c>
      <c r="Q343" s="61" t="n"/>
    </row>
    <row r="344">
      <c r="A344" s="60" t="n"/>
      <c r="B344" s="61" t="n"/>
      <c r="C344" s="61" t="n"/>
      <c r="D344" s="61" t="n"/>
      <c r="E344" s="61" t="n"/>
      <c r="F344" s="61" t="n"/>
      <c r="G344" s="62" t="n"/>
      <c r="H344" s="63">
        <f>IF(A344="","",Settings!$B$4)</f>
        <v/>
      </c>
      <c r="I344" s="62">
        <f>IF(G344="","",IF(OR(B344="Revenue",K344="Yes"),ROUND(G344*H344,2),0))</f>
        <v/>
      </c>
      <c r="J344" s="62">
        <f>IF(G344="","",G344+ROUND(G344*H344,2))</f>
        <v/>
      </c>
      <c r="K344" s="61" t="n"/>
      <c r="L344" s="64">
        <f>IF(A344="","",DATE(YEAR(A344),MONTH(A344),1))</f>
        <v/>
      </c>
      <c r="M344" s="61" t="n"/>
      <c r="N344" s="65" t="n"/>
      <c r="O344" s="62">
        <f>IF(B344="Revenue",G344,0)</f>
        <v/>
      </c>
      <c r="P344" s="62">
        <f>IF(B344="Expense",G344,0)</f>
        <v/>
      </c>
      <c r="Q344" s="61" t="n"/>
    </row>
    <row r="345">
      <c r="A345" s="60" t="n"/>
      <c r="B345" s="61" t="n"/>
      <c r="C345" s="61" t="n"/>
      <c r="D345" s="61" t="n"/>
      <c r="E345" s="61" t="n"/>
      <c r="F345" s="61" t="n"/>
      <c r="G345" s="62" t="n"/>
      <c r="H345" s="63">
        <f>IF(A345="","",Settings!$B$4)</f>
        <v/>
      </c>
      <c r="I345" s="62">
        <f>IF(G345="","",IF(OR(B345="Revenue",K345="Yes"),ROUND(G345*H345,2),0))</f>
        <v/>
      </c>
      <c r="J345" s="62">
        <f>IF(G345="","",G345+ROUND(G345*H345,2))</f>
        <v/>
      </c>
      <c r="K345" s="61" t="n"/>
      <c r="L345" s="64">
        <f>IF(A345="","",DATE(YEAR(A345),MONTH(A345),1))</f>
        <v/>
      </c>
      <c r="M345" s="61" t="n"/>
      <c r="N345" s="65" t="n"/>
      <c r="O345" s="62">
        <f>IF(B345="Revenue",G345,0)</f>
        <v/>
      </c>
      <c r="P345" s="62">
        <f>IF(B345="Expense",G345,0)</f>
        <v/>
      </c>
      <c r="Q345" s="61" t="n"/>
    </row>
    <row r="346">
      <c r="A346" s="60" t="n"/>
      <c r="B346" s="61" t="n"/>
      <c r="C346" s="61" t="n"/>
      <c r="D346" s="61" t="n"/>
      <c r="E346" s="61" t="n"/>
      <c r="F346" s="61" t="n"/>
      <c r="G346" s="62" t="n"/>
      <c r="H346" s="63">
        <f>IF(A346="","",Settings!$B$4)</f>
        <v/>
      </c>
      <c r="I346" s="62">
        <f>IF(G346="","",IF(OR(B346="Revenue",K346="Yes"),ROUND(G346*H346,2),0))</f>
        <v/>
      </c>
      <c r="J346" s="62">
        <f>IF(G346="","",G346+ROUND(G346*H346,2))</f>
        <v/>
      </c>
      <c r="K346" s="61" t="n"/>
      <c r="L346" s="64">
        <f>IF(A346="","",DATE(YEAR(A346),MONTH(A346),1))</f>
        <v/>
      </c>
      <c r="M346" s="61" t="n"/>
      <c r="N346" s="65" t="n"/>
      <c r="O346" s="62">
        <f>IF(B346="Revenue",G346,0)</f>
        <v/>
      </c>
      <c r="P346" s="62">
        <f>IF(B346="Expense",G346,0)</f>
        <v/>
      </c>
      <c r="Q346" s="61" t="n"/>
    </row>
    <row r="347">
      <c r="A347" s="60" t="n"/>
      <c r="B347" s="61" t="n"/>
      <c r="C347" s="61" t="n"/>
      <c r="D347" s="61" t="n"/>
      <c r="E347" s="61" t="n"/>
      <c r="F347" s="61" t="n"/>
      <c r="G347" s="62" t="n"/>
      <c r="H347" s="63">
        <f>IF(A347="","",Settings!$B$4)</f>
        <v/>
      </c>
      <c r="I347" s="62">
        <f>IF(G347="","",IF(OR(B347="Revenue",K347="Yes"),ROUND(G347*H347,2),0))</f>
        <v/>
      </c>
      <c r="J347" s="62">
        <f>IF(G347="","",G347+ROUND(G347*H347,2))</f>
        <v/>
      </c>
      <c r="K347" s="61" t="n"/>
      <c r="L347" s="64">
        <f>IF(A347="","",DATE(YEAR(A347),MONTH(A347),1))</f>
        <v/>
      </c>
      <c r="M347" s="61" t="n"/>
      <c r="N347" s="65" t="n"/>
      <c r="O347" s="62">
        <f>IF(B347="Revenue",G347,0)</f>
        <v/>
      </c>
      <c r="P347" s="62">
        <f>IF(B347="Expense",G347,0)</f>
        <v/>
      </c>
      <c r="Q347" s="61" t="n"/>
    </row>
    <row r="348">
      <c r="A348" s="60" t="n"/>
      <c r="B348" s="61" t="n"/>
      <c r="C348" s="61" t="n"/>
      <c r="D348" s="61" t="n"/>
      <c r="E348" s="61" t="n"/>
      <c r="F348" s="61" t="n"/>
      <c r="G348" s="62" t="n"/>
      <c r="H348" s="63">
        <f>IF(A348="","",Settings!$B$4)</f>
        <v/>
      </c>
      <c r="I348" s="62">
        <f>IF(G348="","",IF(OR(B348="Revenue",K348="Yes"),ROUND(G348*H348,2),0))</f>
        <v/>
      </c>
      <c r="J348" s="62">
        <f>IF(G348="","",G348+ROUND(G348*H348,2))</f>
        <v/>
      </c>
      <c r="K348" s="61" t="n"/>
      <c r="L348" s="64">
        <f>IF(A348="","",DATE(YEAR(A348),MONTH(A348),1))</f>
        <v/>
      </c>
      <c r="M348" s="61" t="n"/>
      <c r="N348" s="65" t="n"/>
      <c r="O348" s="62">
        <f>IF(B348="Revenue",G348,0)</f>
        <v/>
      </c>
      <c r="P348" s="62">
        <f>IF(B348="Expense",G348,0)</f>
        <v/>
      </c>
      <c r="Q348" s="61" t="n"/>
    </row>
    <row r="349">
      <c r="A349" s="60" t="n"/>
      <c r="B349" s="61" t="n"/>
      <c r="C349" s="61" t="n"/>
      <c r="D349" s="61" t="n"/>
      <c r="E349" s="61" t="n"/>
      <c r="F349" s="61" t="n"/>
      <c r="G349" s="62" t="n"/>
      <c r="H349" s="63">
        <f>IF(A349="","",Settings!$B$4)</f>
        <v/>
      </c>
      <c r="I349" s="62">
        <f>IF(G349="","",IF(OR(B349="Revenue",K349="Yes"),ROUND(G349*H349,2),0))</f>
        <v/>
      </c>
      <c r="J349" s="62">
        <f>IF(G349="","",G349+ROUND(G349*H349,2))</f>
        <v/>
      </c>
      <c r="K349" s="61" t="n"/>
      <c r="L349" s="64">
        <f>IF(A349="","",DATE(YEAR(A349),MONTH(A349),1))</f>
        <v/>
      </c>
      <c r="M349" s="61" t="n"/>
      <c r="N349" s="65" t="n"/>
      <c r="O349" s="62">
        <f>IF(B349="Revenue",G349,0)</f>
        <v/>
      </c>
      <c r="P349" s="62">
        <f>IF(B349="Expense",G349,0)</f>
        <v/>
      </c>
      <c r="Q349" s="61" t="n"/>
    </row>
    <row r="350">
      <c r="A350" s="60" t="n"/>
      <c r="B350" s="61" t="n"/>
      <c r="C350" s="61" t="n"/>
      <c r="D350" s="61" t="n"/>
      <c r="E350" s="61" t="n"/>
      <c r="F350" s="61" t="n"/>
      <c r="G350" s="62" t="n"/>
      <c r="H350" s="63">
        <f>IF(A350="","",Settings!$B$4)</f>
        <v/>
      </c>
      <c r="I350" s="62">
        <f>IF(G350="","",IF(OR(B350="Revenue",K350="Yes"),ROUND(G350*H350,2),0))</f>
        <v/>
      </c>
      <c r="J350" s="62">
        <f>IF(G350="","",G350+ROUND(G350*H350,2))</f>
        <v/>
      </c>
      <c r="K350" s="61" t="n"/>
      <c r="L350" s="64">
        <f>IF(A350="","",DATE(YEAR(A350),MONTH(A350),1))</f>
        <v/>
      </c>
      <c r="M350" s="61" t="n"/>
      <c r="N350" s="65" t="n"/>
      <c r="O350" s="62">
        <f>IF(B350="Revenue",G350,0)</f>
        <v/>
      </c>
      <c r="P350" s="62">
        <f>IF(B350="Expense",G350,0)</f>
        <v/>
      </c>
      <c r="Q350" s="61" t="n"/>
    </row>
    <row r="351">
      <c r="A351" s="60" t="n"/>
      <c r="B351" s="61" t="n"/>
      <c r="C351" s="61" t="n"/>
      <c r="D351" s="61" t="n"/>
      <c r="E351" s="61" t="n"/>
      <c r="F351" s="61" t="n"/>
      <c r="G351" s="62" t="n"/>
      <c r="H351" s="63">
        <f>IF(A351="","",Settings!$B$4)</f>
        <v/>
      </c>
      <c r="I351" s="62">
        <f>IF(G351="","",IF(OR(B351="Revenue",K351="Yes"),ROUND(G351*H351,2),0))</f>
        <v/>
      </c>
      <c r="J351" s="62">
        <f>IF(G351="","",G351+ROUND(G351*H351,2))</f>
        <v/>
      </c>
      <c r="K351" s="61" t="n"/>
      <c r="L351" s="64">
        <f>IF(A351="","",DATE(YEAR(A351),MONTH(A351),1))</f>
        <v/>
      </c>
      <c r="M351" s="61" t="n"/>
      <c r="N351" s="65" t="n"/>
      <c r="O351" s="62">
        <f>IF(B351="Revenue",G351,0)</f>
        <v/>
      </c>
      <c r="P351" s="62">
        <f>IF(B351="Expense",G351,0)</f>
        <v/>
      </c>
      <c r="Q351" s="61" t="n"/>
    </row>
    <row r="352">
      <c r="A352" s="60" t="n"/>
      <c r="B352" s="61" t="n"/>
      <c r="C352" s="61" t="n"/>
      <c r="D352" s="61" t="n"/>
      <c r="E352" s="61" t="n"/>
      <c r="F352" s="61" t="n"/>
      <c r="G352" s="62" t="n"/>
      <c r="H352" s="63">
        <f>IF(A352="","",Settings!$B$4)</f>
        <v/>
      </c>
      <c r="I352" s="62">
        <f>IF(G352="","",IF(OR(B352="Revenue",K352="Yes"),ROUND(G352*H352,2),0))</f>
        <v/>
      </c>
      <c r="J352" s="62">
        <f>IF(G352="","",G352+ROUND(G352*H352,2))</f>
        <v/>
      </c>
      <c r="K352" s="61" t="n"/>
      <c r="L352" s="64">
        <f>IF(A352="","",DATE(YEAR(A352),MONTH(A352),1))</f>
        <v/>
      </c>
      <c r="M352" s="61" t="n"/>
      <c r="N352" s="65" t="n"/>
      <c r="O352" s="62">
        <f>IF(B352="Revenue",G352,0)</f>
        <v/>
      </c>
      <c r="P352" s="62">
        <f>IF(B352="Expense",G352,0)</f>
        <v/>
      </c>
      <c r="Q352" s="61" t="n"/>
    </row>
    <row r="353">
      <c r="A353" s="60" t="n"/>
      <c r="B353" s="61" t="n"/>
      <c r="C353" s="61" t="n"/>
      <c r="D353" s="61" t="n"/>
      <c r="E353" s="61" t="n"/>
      <c r="F353" s="61" t="n"/>
      <c r="G353" s="62" t="n"/>
      <c r="H353" s="63">
        <f>IF(A353="","",Settings!$B$4)</f>
        <v/>
      </c>
      <c r="I353" s="62">
        <f>IF(G353="","",IF(OR(B353="Revenue",K353="Yes"),ROUND(G353*H353,2),0))</f>
        <v/>
      </c>
      <c r="J353" s="62">
        <f>IF(G353="","",G353+ROUND(G353*H353,2))</f>
        <v/>
      </c>
      <c r="K353" s="61" t="n"/>
      <c r="L353" s="64">
        <f>IF(A353="","",DATE(YEAR(A353),MONTH(A353),1))</f>
        <v/>
      </c>
      <c r="M353" s="61" t="n"/>
      <c r="N353" s="65" t="n"/>
      <c r="O353" s="62">
        <f>IF(B353="Revenue",G353,0)</f>
        <v/>
      </c>
      <c r="P353" s="62">
        <f>IF(B353="Expense",G353,0)</f>
        <v/>
      </c>
      <c r="Q353" s="61" t="n"/>
    </row>
    <row r="354">
      <c r="A354" s="60" t="n"/>
      <c r="B354" s="61" t="n"/>
      <c r="C354" s="61" t="n"/>
      <c r="D354" s="61" t="n"/>
      <c r="E354" s="61" t="n"/>
      <c r="F354" s="61" t="n"/>
      <c r="G354" s="62" t="n"/>
      <c r="H354" s="63">
        <f>IF(A354="","",Settings!$B$4)</f>
        <v/>
      </c>
      <c r="I354" s="62">
        <f>IF(G354="","",IF(OR(B354="Revenue",K354="Yes"),ROUND(G354*H354,2),0))</f>
        <v/>
      </c>
      <c r="J354" s="62">
        <f>IF(G354="","",G354+ROUND(G354*H354,2))</f>
        <v/>
      </c>
      <c r="K354" s="61" t="n"/>
      <c r="L354" s="64">
        <f>IF(A354="","",DATE(YEAR(A354),MONTH(A354),1))</f>
        <v/>
      </c>
      <c r="M354" s="61" t="n"/>
      <c r="N354" s="65" t="n"/>
      <c r="O354" s="62">
        <f>IF(B354="Revenue",G354,0)</f>
        <v/>
      </c>
      <c r="P354" s="62">
        <f>IF(B354="Expense",G354,0)</f>
        <v/>
      </c>
      <c r="Q354" s="61" t="n"/>
    </row>
    <row r="355">
      <c r="A355" s="60" t="n"/>
      <c r="B355" s="61" t="n"/>
      <c r="C355" s="61" t="n"/>
      <c r="D355" s="61" t="n"/>
      <c r="E355" s="61" t="n"/>
      <c r="F355" s="61" t="n"/>
      <c r="G355" s="62" t="n"/>
      <c r="H355" s="63">
        <f>IF(A355="","",Settings!$B$4)</f>
        <v/>
      </c>
      <c r="I355" s="62">
        <f>IF(G355="","",IF(OR(B355="Revenue",K355="Yes"),ROUND(G355*H355,2),0))</f>
        <v/>
      </c>
      <c r="J355" s="62">
        <f>IF(G355="","",G355+ROUND(G355*H355,2))</f>
        <v/>
      </c>
      <c r="K355" s="61" t="n"/>
      <c r="L355" s="64">
        <f>IF(A355="","",DATE(YEAR(A355),MONTH(A355),1))</f>
        <v/>
      </c>
      <c r="M355" s="61" t="n"/>
      <c r="N355" s="65" t="n"/>
      <c r="O355" s="62">
        <f>IF(B355="Revenue",G355,0)</f>
        <v/>
      </c>
      <c r="P355" s="62">
        <f>IF(B355="Expense",G355,0)</f>
        <v/>
      </c>
      <c r="Q355" s="61" t="n"/>
    </row>
    <row r="356">
      <c r="A356" s="60" t="n"/>
      <c r="B356" s="61" t="n"/>
      <c r="C356" s="61" t="n"/>
      <c r="D356" s="61" t="n"/>
      <c r="E356" s="61" t="n"/>
      <c r="F356" s="61" t="n"/>
      <c r="G356" s="62" t="n"/>
      <c r="H356" s="63">
        <f>IF(A356="","",Settings!$B$4)</f>
        <v/>
      </c>
      <c r="I356" s="62">
        <f>IF(G356="","",IF(OR(B356="Revenue",K356="Yes"),ROUND(G356*H356,2),0))</f>
        <v/>
      </c>
      <c r="J356" s="62">
        <f>IF(G356="","",G356+ROUND(G356*H356,2))</f>
        <v/>
      </c>
      <c r="K356" s="61" t="n"/>
      <c r="L356" s="64">
        <f>IF(A356="","",DATE(YEAR(A356),MONTH(A356),1))</f>
        <v/>
      </c>
      <c r="M356" s="61" t="n"/>
      <c r="N356" s="65" t="n"/>
      <c r="O356" s="62">
        <f>IF(B356="Revenue",G356,0)</f>
        <v/>
      </c>
      <c r="P356" s="62">
        <f>IF(B356="Expense",G356,0)</f>
        <v/>
      </c>
      <c r="Q356" s="61" t="n"/>
    </row>
    <row r="357">
      <c r="A357" s="60" t="n"/>
      <c r="B357" s="61" t="n"/>
      <c r="C357" s="61" t="n"/>
      <c r="D357" s="61" t="n"/>
      <c r="E357" s="61" t="n"/>
      <c r="F357" s="61" t="n"/>
      <c r="G357" s="62" t="n"/>
      <c r="H357" s="63">
        <f>IF(A357="","",Settings!$B$4)</f>
        <v/>
      </c>
      <c r="I357" s="62">
        <f>IF(G357="","",IF(OR(B357="Revenue",K357="Yes"),ROUND(G357*H357,2),0))</f>
        <v/>
      </c>
      <c r="J357" s="62">
        <f>IF(G357="","",G357+ROUND(G357*H357,2))</f>
        <v/>
      </c>
      <c r="K357" s="61" t="n"/>
      <c r="L357" s="64">
        <f>IF(A357="","",DATE(YEAR(A357),MONTH(A357),1))</f>
        <v/>
      </c>
      <c r="M357" s="61" t="n"/>
      <c r="N357" s="65" t="n"/>
      <c r="O357" s="62">
        <f>IF(B357="Revenue",G357,0)</f>
        <v/>
      </c>
      <c r="P357" s="62">
        <f>IF(B357="Expense",G357,0)</f>
        <v/>
      </c>
      <c r="Q357" s="61" t="n"/>
    </row>
    <row r="358">
      <c r="A358" s="60" t="n"/>
      <c r="B358" s="61" t="n"/>
      <c r="C358" s="61" t="n"/>
      <c r="D358" s="61" t="n"/>
      <c r="E358" s="61" t="n"/>
      <c r="F358" s="61" t="n"/>
      <c r="G358" s="62" t="n"/>
      <c r="H358" s="63">
        <f>IF(A358="","",Settings!$B$4)</f>
        <v/>
      </c>
      <c r="I358" s="62">
        <f>IF(G358="","",IF(OR(B358="Revenue",K358="Yes"),ROUND(G358*H358,2),0))</f>
        <v/>
      </c>
      <c r="J358" s="62">
        <f>IF(G358="","",G358+ROUND(G358*H358,2))</f>
        <v/>
      </c>
      <c r="K358" s="61" t="n"/>
      <c r="L358" s="64">
        <f>IF(A358="","",DATE(YEAR(A358),MONTH(A358),1))</f>
        <v/>
      </c>
      <c r="M358" s="61" t="n"/>
      <c r="N358" s="65" t="n"/>
      <c r="O358" s="62">
        <f>IF(B358="Revenue",G358,0)</f>
        <v/>
      </c>
      <c r="P358" s="62">
        <f>IF(B358="Expense",G358,0)</f>
        <v/>
      </c>
      <c r="Q358" s="61" t="n"/>
    </row>
    <row r="359">
      <c r="A359" s="60" t="n"/>
      <c r="B359" s="61" t="n"/>
      <c r="C359" s="61" t="n"/>
      <c r="D359" s="61" t="n"/>
      <c r="E359" s="61" t="n"/>
      <c r="F359" s="61" t="n"/>
      <c r="G359" s="62" t="n"/>
      <c r="H359" s="63">
        <f>IF(A359="","",Settings!$B$4)</f>
        <v/>
      </c>
      <c r="I359" s="62">
        <f>IF(G359="","",IF(OR(B359="Revenue",K359="Yes"),ROUND(G359*H359,2),0))</f>
        <v/>
      </c>
      <c r="J359" s="62">
        <f>IF(G359="","",G359+ROUND(G359*H359,2))</f>
        <v/>
      </c>
      <c r="K359" s="61" t="n"/>
      <c r="L359" s="64">
        <f>IF(A359="","",DATE(YEAR(A359),MONTH(A359),1))</f>
        <v/>
      </c>
      <c r="M359" s="61" t="n"/>
      <c r="N359" s="65" t="n"/>
      <c r="O359" s="62">
        <f>IF(B359="Revenue",G359,0)</f>
        <v/>
      </c>
      <c r="P359" s="62">
        <f>IF(B359="Expense",G359,0)</f>
        <v/>
      </c>
      <c r="Q359" s="61" t="n"/>
    </row>
    <row r="360">
      <c r="A360" s="60" t="n"/>
      <c r="B360" s="61" t="n"/>
      <c r="C360" s="61" t="n"/>
      <c r="D360" s="61" t="n"/>
      <c r="E360" s="61" t="n"/>
      <c r="F360" s="61" t="n"/>
      <c r="G360" s="62" t="n"/>
      <c r="H360" s="63">
        <f>IF(A360="","",Settings!$B$4)</f>
        <v/>
      </c>
      <c r="I360" s="62">
        <f>IF(G360="","",IF(OR(B360="Revenue",K360="Yes"),ROUND(G360*H360,2),0))</f>
        <v/>
      </c>
      <c r="J360" s="62">
        <f>IF(G360="","",G360+ROUND(G360*H360,2))</f>
        <v/>
      </c>
      <c r="K360" s="61" t="n"/>
      <c r="L360" s="64">
        <f>IF(A360="","",DATE(YEAR(A360),MONTH(A360),1))</f>
        <v/>
      </c>
      <c r="M360" s="61" t="n"/>
      <c r="N360" s="65" t="n"/>
      <c r="O360" s="62">
        <f>IF(B360="Revenue",G360,0)</f>
        <v/>
      </c>
      <c r="P360" s="62">
        <f>IF(B360="Expense",G360,0)</f>
        <v/>
      </c>
      <c r="Q360" s="61" t="n"/>
    </row>
    <row r="361">
      <c r="A361" s="60" t="n"/>
      <c r="B361" s="61" t="n"/>
      <c r="C361" s="61" t="n"/>
      <c r="D361" s="61" t="n"/>
      <c r="E361" s="61" t="n"/>
      <c r="F361" s="61" t="n"/>
      <c r="G361" s="62" t="n"/>
      <c r="H361" s="63">
        <f>IF(A361="","",Settings!$B$4)</f>
        <v/>
      </c>
      <c r="I361" s="62">
        <f>IF(G361="","",IF(OR(B361="Revenue",K361="Yes"),ROUND(G361*H361,2),0))</f>
        <v/>
      </c>
      <c r="J361" s="62">
        <f>IF(G361="","",G361+ROUND(G361*H361,2))</f>
        <v/>
      </c>
      <c r="K361" s="61" t="n"/>
      <c r="L361" s="64">
        <f>IF(A361="","",DATE(YEAR(A361),MONTH(A361),1))</f>
        <v/>
      </c>
      <c r="M361" s="61" t="n"/>
      <c r="N361" s="65" t="n"/>
      <c r="O361" s="62">
        <f>IF(B361="Revenue",G361,0)</f>
        <v/>
      </c>
      <c r="P361" s="62">
        <f>IF(B361="Expense",G361,0)</f>
        <v/>
      </c>
      <c r="Q361" s="61" t="n"/>
    </row>
    <row r="362">
      <c r="A362" s="60" t="n"/>
      <c r="B362" s="61" t="n"/>
      <c r="C362" s="61" t="n"/>
      <c r="D362" s="61" t="n"/>
      <c r="E362" s="61" t="n"/>
      <c r="F362" s="61" t="n"/>
      <c r="G362" s="62" t="n"/>
      <c r="H362" s="63">
        <f>IF(A362="","",Settings!$B$4)</f>
        <v/>
      </c>
      <c r="I362" s="62">
        <f>IF(G362="","",IF(OR(B362="Revenue",K362="Yes"),ROUND(G362*H362,2),0))</f>
        <v/>
      </c>
      <c r="J362" s="62">
        <f>IF(G362="","",G362+ROUND(G362*H362,2))</f>
        <v/>
      </c>
      <c r="K362" s="61" t="n"/>
      <c r="L362" s="64">
        <f>IF(A362="","",DATE(YEAR(A362),MONTH(A362),1))</f>
        <v/>
      </c>
      <c r="M362" s="61" t="n"/>
      <c r="N362" s="65" t="n"/>
      <c r="O362" s="62">
        <f>IF(B362="Revenue",G362,0)</f>
        <v/>
      </c>
      <c r="P362" s="62">
        <f>IF(B362="Expense",G362,0)</f>
        <v/>
      </c>
      <c r="Q362" s="61" t="n"/>
    </row>
    <row r="363">
      <c r="A363" s="60" t="n"/>
      <c r="B363" s="61" t="n"/>
      <c r="C363" s="61" t="n"/>
      <c r="D363" s="61" t="n"/>
      <c r="E363" s="61" t="n"/>
      <c r="F363" s="61" t="n"/>
      <c r="G363" s="62" t="n"/>
      <c r="H363" s="63">
        <f>IF(A363="","",Settings!$B$4)</f>
        <v/>
      </c>
      <c r="I363" s="62">
        <f>IF(G363="","",IF(OR(B363="Revenue",K363="Yes"),ROUND(G363*H363,2),0))</f>
        <v/>
      </c>
      <c r="J363" s="62">
        <f>IF(G363="","",G363+ROUND(G363*H363,2))</f>
        <v/>
      </c>
      <c r="K363" s="61" t="n"/>
      <c r="L363" s="64">
        <f>IF(A363="","",DATE(YEAR(A363),MONTH(A363),1))</f>
        <v/>
      </c>
      <c r="M363" s="61" t="n"/>
      <c r="N363" s="65" t="n"/>
      <c r="O363" s="62">
        <f>IF(B363="Revenue",G363,0)</f>
        <v/>
      </c>
      <c r="P363" s="62">
        <f>IF(B363="Expense",G363,0)</f>
        <v/>
      </c>
      <c r="Q363" s="61" t="n"/>
    </row>
    <row r="364">
      <c r="A364" s="60" t="n"/>
      <c r="B364" s="61" t="n"/>
      <c r="C364" s="61" t="n"/>
      <c r="D364" s="61" t="n"/>
      <c r="E364" s="61" t="n"/>
      <c r="F364" s="61" t="n"/>
      <c r="G364" s="62" t="n"/>
      <c r="H364" s="63">
        <f>IF(A364="","",Settings!$B$4)</f>
        <v/>
      </c>
      <c r="I364" s="62">
        <f>IF(G364="","",IF(OR(B364="Revenue",K364="Yes"),ROUND(G364*H364,2),0))</f>
        <v/>
      </c>
      <c r="J364" s="62">
        <f>IF(G364="","",G364+ROUND(G364*H364,2))</f>
        <v/>
      </c>
      <c r="K364" s="61" t="n"/>
      <c r="L364" s="64">
        <f>IF(A364="","",DATE(YEAR(A364),MONTH(A364),1))</f>
        <v/>
      </c>
      <c r="M364" s="61" t="n"/>
      <c r="N364" s="65" t="n"/>
      <c r="O364" s="62">
        <f>IF(B364="Revenue",G364,0)</f>
        <v/>
      </c>
      <c r="P364" s="62">
        <f>IF(B364="Expense",G364,0)</f>
        <v/>
      </c>
      <c r="Q364" s="61" t="n"/>
    </row>
    <row r="366">
      <c r="A366" s="58" t="inlineStr">
        <is>
          <t>December 2026 / เดือน Dec</t>
        </is>
      </c>
    </row>
    <row r="367">
      <c r="A367" s="59" t="inlineStr">
        <is>
          <t>วันที่</t>
        </is>
      </c>
      <c r="B367" s="59" t="inlineStr">
        <is>
          <t>ประเภท</t>
        </is>
      </c>
      <c r="C367" s="59" t="inlineStr">
        <is>
          <t>เลขที่เอกสาร</t>
        </is>
      </c>
      <c r="D367" s="59" t="inlineStr">
        <is>
          <t>ลูกค้า/ผู้ขาย</t>
        </is>
      </c>
      <c r="E367" s="59" t="inlineStr">
        <is>
          <t>รายละเอียด</t>
        </is>
      </c>
      <c r="F367" s="59" t="inlineStr">
        <is>
          <t>หมวด</t>
        </is>
      </c>
      <c r="G367" s="59" t="inlineStr">
        <is>
          <t>ยอดก่อน VAT</t>
        </is>
      </c>
      <c r="H367" s="59" t="inlineStr">
        <is>
          <t>อัตรา VAT</t>
        </is>
      </c>
      <c r="I367" s="59" t="inlineStr">
        <is>
          <t>VAT</t>
        </is>
      </c>
      <c r="J367" s="59" t="inlineStr">
        <is>
          <t>ยอดรวม</t>
        </is>
      </c>
      <c r="K367" s="59" t="inlineStr">
        <is>
          <t>รับเงิน/ขอคืน VAT?</t>
        </is>
      </c>
      <c r="L367" s="59" t="inlineStr">
        <is>
          <t>เดือน</t>
        </is>
      </c>
      <c r="M367" s="59" t="inlineStr">
        <is>
          <t>ไฟล์เอกสาร</t>
        </is>
      </c>
      <c r="N367" s="59" t="inlineStr">
        <is>
          <t>OCR Confidence</t>
        </is>
      </c>
      <c r="O367" s="59" t="inlineStr">
        <is>
          <t>รายรับก่อน VAT</t>
        </is>
      </c>
      <c r="P367" s="59" t="inlineStr">
        <is>
          <t>ค่าใช้จ่ายก่อน VAT</t>
        </is>
      </c>
      <c r="Q367" s="59" t="inlineStr">
        <is>
          <t>หมายเหตุ</t>
        </is>
      </c>
      <c r="R367" s="74" t="inlineStr">
        <is>
          <t>ประเภทเอกสาร</t>
        </is>
      </c>
    </row>
    <row r="368">
      <c r="A368" s="60" t="n"/>
      <c r="B368" s="61" t="n"/>
      <c r="C368" s="61" t="n"/>
      <c r="D368" s="61" t="n"/>
      <c r="E368" s="61" t="n"/>
      <c r="F368" s="61" t="n"/>
      <c r="G368" s="62" t="n"/>
      <c r="H368" s="63">
        <f>IF(A368="","",Settings!$B$4)</f>
        <v/>
      </c>
      <c r="I368" s="62">
        <f>IF(G368="","",IF(OR(B368="Revenue",K368="Yes"),ROUND(G368*H368,2),0))</f>
        <v/>
      </c>
      <c r="J368" s="62">
        <f>IF(G368="","",G368+ROUND(G368*H368,2))</f>
        <v/>
      </c>
      <c r="K368" s="61" t="n"/>
      <c r="L368" s="64">
        <f>IF(A368="","",DATE(YEAR(A368),MONTH(A368),1))</f>
        <v/>
      </c>
      <c r="M368" s="61" t="n"/>
      <c r="N368" s="65" t="n"/>
      <c r="O368" s="62">
        <f>IF(B368="Revenue",G368,0)</f>
        <v/>
      </c>
      <c r="P368" s="62">
        <f>IF(B368="Expense",G368,0)</f>
        <v/>
      </c>
      <c r="Q368" s="61" t="n"/>
    </row>
    <row r="369">
      <c r="A369" s="60" t="n"/>
      <c r="B369" s="61" t="n"/>
      <c r="C369" s="61" t="n"/>
      <c r="D369" s="61" t="n"/>
      <c r="E369" s="61" t="n"/>
      <c r="F369" s="61" t="n"/>
      <c r="G369" s="62" t="n"/>
      <c r="H369" s="63">
        <f>IF(A369="","",Settings!$B$4)</f>
        <v/>
      </c>
      <c r="I369" s="62">
        <f>IF(G369="","",IF(OR(B369="Revenue",K369="Yes"),ROUND(G369*H369,2),0))</f>
        <v/>
      </c>
      <c r="J369" s="62">
        <f>IF(G369="","",G369+ROUND(G369*H369,2))</f>
        <v/>
      </c>
      <c r="K369" s="61" t="n"/>
      <c r="L369" s="64">
        <f>IF(A369="","",DATE(YEAR(A369),MONTH(A369),1))</f>
        <v/>
      </c>
      <c r="M369" s="61" t="n"/>
      <c r="N369" s="65" t="n"/>
      <c r="O369" s="62">
        <f>IF(B369="Revenue",G369,0)</f>
        <v/>
      </c>
      <c r="P369" s="62">
        <f>IF(B369="Expense",G369,0)</f>
        <v/>
      </c>
      <c r="Q369" s="61" t="n"/>
    </row>
    <row r="370">
      <c r="A370" s="60" t="n"/>
      <c r="B370" s="61" t="n"/>
      <c r="C370" s="61" t="n"/>
      <c r="D370" s="61" t="n"/>
      <c r="E370" s="61" t="n"/>
      <c r="F370" s="61" t="n"/>
      <c r="G370" s="62" t="n"/>
      <c r="H370" s="63">
        <f>IF(A370="","",Settings!$B$4)</f>
        <v/>
      </c>
      <c r="I370" s="62">
        <f>IF(G370="","",IF(OR(B370="Revenue",K370="Yes"),ROUND(G370*H370,2),0))</f>
        <v/>
      </c>
      <c r="J370" s="62">
        <f>IF(G370="","",G370+ROUND(G370*H370,2))</f>
        <v/>
      </c>
      <c r="K370" s="61" t="n"/>
      <c r="L370" s="64">
        <f>IF(A370="","",DATE(YEAR(A370),MONTH(A370),1))</f>
        <v/>
      </c>
      <c r="M370" s="61" t="n"/>
      <c r="N370" s="65" t="n"/>
      <c r="O370" s="62">
        <f>IF(B370="Revenue",G370,0)</f>
        <v/>
      </c>
      <c r="P370" s="62">
        <f>IF(B370="Expense",G370,0)</f>
        <v/>
      </c>
      <c r="Q370" s="61" t="n"/>
    </row>
    <row r="371">
      <c r="A371" s="60" t="n"/>
      <c r="B371" s="61" t="n"/>
      <c r="C371" s="61" t="n"/>
      <c r="D371" s="61" t="n"/>
      <c r="E371" s="61" t="n"/>
      <c r="F371" s="61" t="n"/>
      <c r="G371" s="62" t="n"/>
      <c r="H371" s="63">
        <f>IF(A371="","",Settings!$B$4)</f>
        <v/>
      </c>
      <c r="I371" s="62">
        <f>IF(G371="","",IF(OR(B371="Revenue",K371="Yes"),ROUND(G371*H371,2),0))</f>
        <v/>
      </c>
      <c r="J371" s="62">
        <f>IF(G371="","",G371+ROUND(G371*H371,2))</f>
        <v/>
      </c>
      <c r="K371" s="61" t="n"/>
      <c r="L371" s="64">
        <f>IF(A371="","",DATE(YEAR(A371),MONTH(A371),1))</f>
        <v/>
      </c>
      <c r="M371" s="61" t="n"/>
      <c r="N371" s="65" t="n"/>
      <c r="O371" s="62">
        <f>IF(B371="Revenue",G371,0)</f>
        <v/>
      </c>
      <c r="P371" s="62">
        <f>IF(B371="Expense",G371,0)</f>
        <v/>
      </c>
      <c r="Q371" s="61" t="n"/>
    </row>
    <row r="372">
      <c r="A372" s="60" t="n"/>
      <c r="B372" s="61" t="n"/>
      <c r="C372" s="61" t="n"/>
      <c r="D372" s="61" t="n"/>
      <c r="E372" s="61" t="n"/>
      <c r="F372" s="61" t="n"/>
      <c r="G372" s="62" t="n"/>
      <c r="H372" s="63">
        <f>IF(A372="","",Settings!$B$4)</f>
        <v/>
      </c>
      <c r="I372" s="62">
        <f>IF(G372="","",IF(OR(B372="Revenue",K372="Yes"),ROUND(G372*H372,2),0))</f>
        <v/>
      </c>
      <c r="J372" s="62">
        <f>IF(G372="","",G372+ROUND(G372*H372,2))</f>
        <v/>
      </c>
      <c r="K372" s="61" t="n"/>
      <c r="L372" s="64">
        <f>IF(A372="","",DATE(YEAR(A372),MONTH(A372),1))</f>
        <v/>
      </c>
      <c r="M372" s="61" t="n"/>
      <c r="N372" s="65" t="n"/>
      <c r="O372" s="62">
        <f>IF(B372="Revenue",G372,0)</f>
        <v/>
      </c>
      <c r="P372" s="62">
        <f>IF(B372="Expense",G372,0)</f>
        <v/>
      </c>
      <c r="Q372" s="61" t="n"/>
    </row>
    <row r="373">
      <c r="A373" s="60" t="n"/>
      <c r="B373" s="61" t="n"/>
      <c r="C373" s="61" t="n"/>
      <c r="D373" s="61" t="n"/>
      <c r="E373" s="61" t="n"/>
      <c r="F373" s="61" t="n"/>
      <c r="G373" s="62" t="n"/>
      <c r="H373" s="63">
        <f>IF(A373="","",Settings!$B$4)</f>
        <v/>
      </c>
      <c r="I373" s="62">
        <f>IF(G373="","",IF(OR(B373="Revenue",K373="Yes"),ROUND(G373*H373,2),0))</f>
        <v/>
      </c>
      <c r="J373" s="62">
        <f>IF(G373="","",G373+ROUND(G373*H373,2))</f>
        <v/>
      </c>
      <c r="K373" s="61" t="n"/>
      <c r="L373" s="64">
        <f>IF(A373="","",DATE(YEAR(A373),MONTH(A373),1))</f>
        <v/>
      </c>
      <c r="M373" s="61" t="n"/>
      <c r="N373" s="65" t="n"/>
      <c r="O373" s="62">
        <f>IF(B373="Revenue",G373,0)</f>
        <v/>
      </c>
      <c r="P373" s="62">
        <f>IF(B373="Expense",G373,0)</f>
        <v/>
      </c>
      <c r="Q373" s="61" t="n"/>
    </row>
    <row r="374">
      <c r="A374" s="60" t="n"/>
      <c r="B374" s="61" t="n"/>
      <c r="C374" s="61" t="n"/>
      <c r="D374" s="61" t="n"/>
      <c r="E374" s="61" t="n"/>
      <c r="F374" s="61" t="n"/>
      <c r="G374" s="62" t="n"/>
      <c r="H374" s="63">
        <f>IF(A374="","",Settings!$B$4)</f>
        <v/>
      </c>
      <c r="I374" s="62">
        <f>IF(G374="","",IF(OR(B374="Revenue",K374="Yes"),ROUND(G374*H374,2),0))</f>
        <v/>
      </c>
      <c r="J374" s="62">
        <f>IF(G374="","",G374+ROUND(G374*H374,2))</f>
        <v/>
      </c>
      <c r="K374" s="61" t="n"/>
      <c r="L374" s="64">
        <f>IF(A374="","",DATE(YEAR(A374),MONTH(A374),1))</f>
        <v/>
      </c>
      <c r="M374" s="61" t="n"/>
      <c r="N374" s="65" t="n"/>
      <c r="O374" s="62">
        <f>IF(B374="Revenue",G374,0)</f>
        <v/>
      </c>
      <c r="P374" s="62">
        <f>IF(B374="Expense",G374,0)</f>
        <v/>
      </c>
      <c r="Q374" s="61" t="n"/>
    </row>
    <row r="375">
      <c r="A375" s="60" t="n"/>
      <c r="B375" s="61" t="n"/>
      <c r="C375" s="61" t="n"/>
      <c r="D375" s="61" t="n"/>
      <c r="E375" s="61" t="n"/>
      <c r="F375" s="61" t="n"/>
      <c r="G375" s="62" t="n"/>
      <c r="H375" s="63">
        <f>IF(A375="","",Settings!$B$4)</f>
        <v/>
      </c>
      <c r="I375" s="62">
        <f>IF(G375="","",IF(OR(B375="Revenue",K375="Yes"),ROUND(G375*H375,2),0))</f>
        <v/>
      </c>
      <c r="J375" s="62">
        <f>IF(G375="","",G375+ROUND(G375*H375,2))</f>
        <v/>
      </c>
      <c r="K375" s="61" t="n"/>
      <c r="L375" s="64">
        <f>IF(A375="","",DATE(YEAR(A375),MONTH(A375),1))</f>
        <v/>
      </c>
      <c r="M375" s="61" t="n"/>
      <c r="N375" s="65" t="n"/>
      <c r="O375" s="62">
        <f>IF(B375="Revenue",G375,0)</f>
        <v/>
      </c>
      <c r="P375" s="62">
        <f>IF(B375="Expense",G375,0)</f>
        <v/>
      </c>
      <c r="Q375" s="61" t="n"/>
    </row>
    <row r="376">
      <c r="A376" s="60" t="n"/>
      <c r="B376" s="61" t="n"/>
      <c r="C376" s="61" t="n"/>
      <c r="D376" s="61" t="n"/>
      <c r="E376" s="61" t="n"/>
      <c r="F376" s="61" t="n"/>
      <c r="G376" s="62" t="n"/>
      <c r="H376" s="63">
        <f>IF(A376="","",Settings!$B$4)</f>
        <v/>
      </c>
      <c r="I376" s="62">
        <f>IF(G376="","",IF(OR(B376="Revenue",K376="Yes"),ROUND(G376*H376,2),0))</f>
        <v/>
      </c>
      <c r="J376" s="62">
        <f>IF(G376="","",G376+ROUND(G376*H376,2))</f>
        <v/>
      </c>
      <c r="K376" s="61" t="n"/>
      <c r="L376" s="64">
        <f>IF(A376="","",DATE(YEAR(A376),MONTH(A376),1))</f>
        <v/>
      </c>
      <c r="M376" s="61" t="n"/>
      <c r="N376" s="65" t="n"/>
      <c r="O376" s="62">
        <f>IF(B376="Revenue",G376,0)</f>
        <v/>
      </c>
      <c r="P376" s="62">
        <f>IF(B376="Expense",G376,0)</f>
        <v/>
      </c>
      <c r="Q376" s="61" t="n"/>
    </row>
    <row r="377">
      <c r="A377" s="60" t="n"/>
      <c r="B377" s="61" t="n"/>
      <c r="C377" s="61" t="n"/>
      <c r="D377" s="61" t="n"/>
      <c r="E377" s="61" t="n"/>
      <c r="F377" s="61" t="n"/>
      <c r="G377" s="62" t="n"/>
      <c r="H377" s="63">
        <f>IF(A377="","",Settings!$B$4)</f>
        <v/>
      </c>
      <c r="I377" s="62">
        <f>IF(G377="","",IF(OR(B377="Revenue",K377="Yes"),ROUND(G377*H377,2),0))</f>
        <v/>
      </c>
      <c r="J377" s="62">
        <f>IF(G377="","",G377+ROUND(G377*H377,2))</f>
        <v/>
      </c>
      <c r="K377" s="61" t="n"/>
      <c r="L377" s="64">
        <f>IF(A377="","",DATE(YEAR(A377),MONTH(A377),1))</f>
        <v/>
      </c>
      <c r="M377" s="61" t="n"/>
      <c r="N377" s="65" t="n"/>
      <c r="O377" s="62">
        <f>IF(B377="Revenue",G377,0)</f>
        <v/>
      </c>
      <c r="P377" s="62">
        <f>IF(B377="Expense",G377,0)</f>
        <v/>
      </c>
      <c r="Q377" s="61" t="n"/>
    </row>
    <row r="378">
      <c r="A378" s="60" t="n"/>
      <c r="B378" s="61" t="n"/>
      <c r="C378" s="61" t="n"/>
      <c r="D378" s="61" t="n"/>
      <c r="E378" s="61" t="n"/>
      <c r="F378" s="61" t="n"/>
      <c r="G378" s="62" t="n"/>
      <c r="H378" s="63">
        <f>IF(A378="","",Settings!$B$4)</f>
        <v/>
      </c>
      <c r="I378" s="62">
        <f>IF(G378="","",IF(OR(B378="Revenue",K378="Yes"),ROUND(G378*H378,2),0))</f>
        <v/>
      </c>
      <c r="J378" s="62">
        <f>IF(G378="","",G378+ROUND(G378*H378,2))</f>
        <v/>
      </c>
      <c r="K378" s="61" t="n"/>
      <c r="L378" s="64">
        <f>IF(A378="","",DATE(YEAR(A378),MONTH(A378),1))</f>
        <v/>
      </c>
      <c r="M378" s="61" t="n"/>
      <c r="N378" s="65" t="n"/>
      <c r="O378" s="62">
        <f>IF(B378="Revenue",G378,0)</f>
        <v/>
      </c>
      <c r="P378" s="62">
        <f>IF(B378="Expense",G378,0)</f>
        <v/>
      </c>
      <c r="Q378" s="61" t="n"/>
    </row>
    <row r="379">
      <c r="A379" s="60" t="n"/>
      <c r="B379" s="61" t="n"/>
      <c r="C379" s="61" t="n"/>
      <c r="D379" s="61" t="n"/>
      <c r="E379" s="61" t="n"/>
      <c r="F379" s="61" t="n"/>
      <c r="G379" s="62" t="n"/>
      <c r="H379" s="63">
        <f>IF(A379="","",Settings!$B$4)</f>
        <v/>
      </c>
      <c r="I379" s="62">
        <f>IF(G379="","",IF(OR(B379="Revenue",K379="Yes"),ROUND(G379*H379,2),0))</f>
        <v/>
      </c>
      <c r="J379" s="62">
        <f>IF(G379="","",G379+ROUND(G379*H379,2))</f>
        <v/>
      </c>
      <c r="K379" s="61" t="n"/>
      <c r="L379" s="64">
        <f>IF(A379="","",DATE(YEAR(A379),MONTH(A379),1))</f>
        <v/>
      </c>
      <c r="M379" s="61" t="n"/>
      <c r="N379" s="65" t="n"/>
      <c r="O379" s="62">
        <f>IF(B379="Revenue",G379,0)</f>
        <v/>
      </c>
      <c r="P379" s="62">
        <f>IF(B379="Expense",G379,0)</f>
        <v/>
      </c>
      <c r="Q379" s="61" t="n"/>
    </row>
    <row r="380">
      <c r="A380" s="60" t="n"/>
      <c r="B380" s="61" t="n"/>
      <c r="C380" s="61" t="n"/>
      <c r="D380" s="61" t="n"/>
      <c r="E380" s="61" t="n"/>
      <c r="F380" s="61" t="n"/>
      <c r="G380" s="62" t="n"/>
      <c r="H380" s="63">
        <f>IF(A380="","",Settings!$B$4)</f>
        <v/>
      </c>
      <c r="I380" s="62">
        <f>IF(G380="","",IF(OR(B380="Revenue",K380="Yes"),ROUND(G380*H380,2),0))</f>
        <v/>
      </c>
      <c r="J380" s="62">
        <f>IF(G380="","",G380+ROUND(G380*H380,2))</f>
        <v/>
      </c>
      <c r="K380" s="61" t="n"/>
      <c r="L380" s="64">
        <f>IF(A380="","",DATE(YEAR(A380),MONTH(A380),1))</f>
        <v/>
      </c>
      <c r="M380" s="61" t="n"/>
      <c r="N380" s="65" t="n"/>
      <c r="O380" s="62">
        <f>IF(B380="Revenue",G380,0)</f>
        <v/>
      </c>
      <c r="P380" s="62">
        <f>IF(B380="Expense",G380,0)</f>
        <v/>
      </c>
      <c r="Q380" s="61" t="n"/>
    </row>
    <row r="381">
      <c r="A381" s="60" t="n"/>
      <c r="B381" s="61" t="n"/>
      <c r="C381" s="61" t="n"/>
      <c r="D381" s="61" t="n"/>
      <c r="E381" s="61" t="n"/>
      <c r="F381" s="61" t="n"/>
      <c r="G381" s="62" t="n"/>
      <c r="H381" s="63">
        <f>IF(A381="","",Settings!$B$4)</f>
        <v/>
      </c>
      <c r="I381" s="62">
        <f>IF(G381="","",IF(OR(B381="Revenue",K381="Yes"),ROUND(G381*H381,2),0))</f>
        <v/>
      </c>
      <c r="J381" s="62">
        <f>IF(G381="","",G381+ROUND(G381*H381,2))</f>
        <v/>
      </c>
      <c r="K381" s="61" t="n"/>
      <c r="L381" s="64">
        <f>IF(A381="","",DATE(YEAR(A381),MONTH(A381),1))</f>
        <v/>
      </c>
      <c r="M381" s="61" t="n"/>
      <c r="N381" s="65" t="n"/>
      <c r="O381" s="62">
        <f>IF(B381="Revenue",G381,0)</f>
        <v/>
      </c>
      <c r="P381" s="62">
        <f>IF(B381="Expense",G381,0)</f>
        <v/>
      </c>
      <c r="Q381" s="61" t="n"/>
    </row>
    <row r="382">
      <c r="A382" s="60" t="n"/>
      <c r="B382" s="61" t="n"/>
      <c r="C382" s="61" t="n"/>
      <c r="D382" s="61" t="n"/>
      <c r="E382" s="61" t="n"/>
      <c r="F382" s="61" t="n"/>
      <c r="G382" s="62" t="n"/>
      <c r="H382" s="63">
        <f>IF(A382="","",Settings!$B$4)</f>
        <v/>
      </c>
      <c r="I382" s="62">
        <f>IF(G382="","",IF(OR(B382="Revenue",K382="Yes"),ROUND(G382*H382,2),0))</f>
        <v/>
      </c>
      <c r="J382" s="62">
        <f>IF(G382="","",G382+ROUND(G382*H382,2))</f>
        <v/>
      </c>
      <c r="K382" s="61" t="n"/>
      <c r="L382" s="64">
        <f>IF(A382="","",DATE(YEAR(A382),MONTH(A382),1))</f>
        <v/>
      </c>
      <c r="M382" s="61" t="n"/>
      <c r="N382" s="65" t="n"/>
      <c r="O382" s="62">
        <f>IF(B382="Revenue",G382,0)</f>
        <v/>
      </c>
      <c r="P382" s="62">
        <f>IF(B382="Expense",G382,0)</f>
        <v/>
      </c>
      <c r="Q382" s="61" t="n"/>
    </row>
    <row r="383">
      <c r="A383" s="60" t="n"/>
      <c r="B383" s="61" t="n"/>
      <c r="C383" s="61" t="n"/>
      <c r="D383" s="61" t="n"/>
      <c r="E383" s="61" t="n"/>
      <c r="F383" s="61" t="n"/>
      <c r="G383" s="62" t="n"/>
      <c r="H383" s="63">
        <f>IF(A383="","",Settings!$B$4)</f>
        <v/>
      </c>
      <c r="I383" s="62">
        <f>IF(G383="","",IF(OR(B383="Revenue",K383="Yes"),ROUND(G383*H383,2),0))</f>
        <v/>
      </c>
      <c r="J383" s="62">
        <f>IF(G383="","",G383+ROUND(G383*H383,2))</f>
        <v/>
      </c>
      <c r="K383" s="61" t="n"/>
      <c r="L383" s="64">
        <f>IF(A383="","",DATE(YEAR(A383),MONTH(A383),1))</f>
        <v/>
      </c>
      <c r="M383" s="61" t="n"/>
      <c r="N383" s="65" t="n"/>
      <c r="O383" s="62">
        <f>IF(B383="Revenue",G383,0)</f>
        <v/>
      </c>
      <c r="P383" s="62">
        <f>IF(B383="Expense",G383,0)</f>
        <v/>
      </c>
      <c r="Q383" s="61" t="n"/>
    </row>
    <row r="384">
      <c r="A384" s="60" t="n"/>
      <c r="B384" s="61" t="n"/>
      <c r="C384" s="61" t="n"/>
      <c r="D384" s="61" t="n"/>
      <c r="E384" s="61" t="n"/>
      <c r="F384" s="61" t="n"/>
      <c r="G384" s="62" t="n"/>
      <c r="H384" s="63">
        <f>IF(A384="","",Settings!$B$4)</f>
        <v/>
      </c>
      <c r="I384" s="62">
        <f>IF(G384="","",IF(OR(B384="Revenue",K384="Yes"),ROUND(G384*H384,2),0))</f>
        <v/>
      </c>
      <c r="J384" s="62">
        <f>IF(G384="","",G384+ROUND(G384*H384,2))</f>
        <v/>
      </c>
      <c r="K384" s="61" t="n"/>
      <c r="L384" s="64">
        <f>IF(A384="","",DATE(YEAR(A384),MONTH(A384),1))</f>
        <v/>
      </c>
      <c r="M384" s="61" t="n"/>
      <c r="N384" s="65" t="n"/>
      <c r="O384" s="62">
        <f>IF(B384="Revenue",G384,0)</f>
        <v/>
      </c>
      <c r="P384" s="62">
        <f>IF(B384="Expense",G384,0)</f>
        <v/>
      </c>
      <c r="Q384" s="61" t="n"/>
    </row>
    <row r="385">
      <c r="A385" s="60" t="n"/>
      <c r="B385" s="61" t="n"/>
      <c r="C385" s="61" t="n"/>
      <c r="D385" s="61" t="n"/>
      <c r="E385" s="61" t="n"/>
      <c r="F385" s="61" t="n"/>
      <c r="G385" s="62" t="n"/>
      <c r="H385" s="63">
        <f>IF(A385="","",Settings!$B$4)</f>
        <v/>
      </c>
      <c r="I385" s="62">
        <f>IF(G385="","",IF(OR(B385="Revenue",K385="Yes"),ROUND(G385*H385,2),0))</f>
        <v/>
      </c>
      <c r="J385" s="62">
        <f>IF(G385="","",G385+ROUND(G385*H385,2))</f>
        <v/>
      </c>
      <c r="K385" s="61" t="n"/>
      <c r="L385" s="64">
        <f>IF(A385="","",DATE(YEAR(A385),MONTH(A385),1))</f>
        <v/>
      </c>
      <c r="M385" s="61" t="n"/>
      <c r="N385" s="65" t="n"/>
      <c r="O385" s="62">
        <f>IF(B385="Revenue",G385,0)</f>
        <v/>
      </c>
      <c r="P385" s="62">
        <f>IF(B385="Expense",G385,0)</f>
        <v/>
      </c>
      <c r="Q385" s="61" t="n"/>
    </row>
    <row r="386">
      <c r="A386" s="60" t="n"/>
      <c r="B386" s="61" t="n"/>
      <c r="C386" s="61" t="n"/>
      <c r="D386" s="61" t="n"/>
      <c r="E386" s="61" t="n"/>
      <c r="F386" s="61" t="n"/>
      <c r="G386" s="62" t="n"/>
      <c r="H386" s="63">
        <f>IF(A386="","",Settings!$B$4)</f>
        <v/>
      </c>
      <c r="I386" s="62">
        <f>IF(G386="","",IF(OR(B386="Revenue",K386="Yes"),ROUND(G386*H386,2),0))</f>
        <v/>
      </c>
      <c r="J386" s="62">
        <f>IF(G386="","",G386+ROUND(G386*H386,2))</f>
        <v/>
      </c>
      <c r="K386" s="61" t="n"/>
      <c r="L386" s="64">
        <f>IF(A386="","",DATE(YEAR(A386),MONTH(A386),1))</f>
        <v/>
      </c>
      <c r="M386" s="61" t="n"/>
      <c r="N386" s="65" t="n"/>
      <c r="O386" s="62">
        <f>IF(B386="Revenue",G386,0)</f>
        <v/>
      </c>
      <c r="P386" s="62">
        <f>IF(B386="Expense",G386,0)</f>
        <v/>
      </c>
      <c r="Q386" s="61" t="n"/>
    </row>
    <row r="387">
      <c r="A387" s="60" t="n"/>
      <c r="B387" s="61" t="n"/>
      <c r="C387" s="61" t="n"/>
      <c r="D387" s="61" t="n"/>
      <c r="E387" s="61" t="n"/>
      <c r="F387" s="61" t="n"/>
      <c r="G387" s="62" t="n"/>
      <c r="H387" s="63">
        <f>IF(A387="","",Settings!$B$4)</f>
        <v/>
      </c>
      <c r="I387" s="62">
        <f>IF(G387="","",IF(OR(B387="Revenue",K387="Yes"),ROUND(G387*H387,2),0))</f>
        <v/>
      </c>
      <c r="J387" s="62">
        <f>IF(G387="","",G387+ROUND(G387*H387,2))</f>
        <v/>
      </c>
      <c r="K387" s="61" t="n"/>
      <c r="L387" s="64">
        <f>IF(A387="","",DATE(YEAR(A387),MONTH(A387),1))</f>
        <v/>
      </c>
      <c r="M387" s="61" t="n"/>
      <c r="N387" s="65" t="n"/>
      <c r="O387" s="62">
        <f>IF(B387="Revenue",G387,0)</f>
        <v/>
      </c>
      <c r="P387" s="62">
        <f>IF(B387="Expense",G387,0)</f>
        <v/>
      </c>
      <c r="Q387" s="61" t="n"/>
    </row>
    <row r="388">
      <c r="A388" s="60" t="n"/>
      <c r="B388" s="61" t="n"/>
      <c r="C388" s="61" t="n"/>
      <c r="D388" s="61" t="n"/>
      <c r="E388" s="61" t="n"/>
      <c r="F388" s="61" t="n"/>
      <c r="G388" s="62" t="n"/>
      <c r="H388" s="63">
        <f>IF(A388="","",Settings!$B$4)</f>
        <v/>
      </c>
      <c r="I388" s="62">
        <f>IF(G388="","",IF(OR(B388="Revenue",K388="Yes"),ROUND(G388*H388,2),0))</f>
        <v/>
      </c>
      <c r="J388" s="62">
        <f>IF(G388="","",G388+ROUND(G388*H388,2))</f>
        <v/>
      </c>
      <c r="K388" s="61" t="n"/>
      <c r="L388" s="64">
        <f>IF(A388="","",DATE(YEAR(A388),MONTH(A388),1))</f>
        <v/>
      </c>
      <c r="M388" s="61" t="n"/>
      <c r="N388" s="65" t="n"/>
      <c r="O388" s="62">
        <f>IF(B388="Revenue",G388,0)</f>
        <v/>
      </c>
      <c r="P388" s="62">
        <f>IF(B388="Expense",G388,0)</f>
        <v/>
      </c>
      <c r="Q388" s="61" t="n"/>
    </row>
    <row r="389">
      <c r="A389" s="60" t="n"/>
      <c r="B389" s="61" t="n"/>
      <c r="C389" s="61" t="n"/>
      <c r="D389" s="61" t="n"/>
      <c r="E389" s="61" t="n"/>
      <c r="F389" s="61" t="n"/>
      <c r="G389" s="62" t="n"/>
      <c r="H389" s="63">
        <f>IF(A389="","",Settings!$B$4)</f>
        <v/>
      </c>
      <c r="I389" s="62">
        <f>IF(G389="","",IF(OR(B389="Revenue",K389="Yes"),ROUND(G389*H389,2),0))</f>
        <v/>
      </c>
      <c r="J389" s="62">
        <f>IF(G389="","",G389+ROUND(G389*H389,2))</f>
        <v/>
      </c>
      <c r="K389" s="61" t="n"/>
      <c r="L389" s="64">
        <f>IF(A389="","",DATE(YEAR(A389),MONTH(A389),1))</f>
        <v/>
      </c>
      <c r="M389" s="61" t="n"/>
      <c r="N389" s="65" t="n"/>
      <c r="O389" s="62">
        <f>IF(B389="Revenue",G389,0)</f>
        <v/>
      </c>
      <c r="P389" s="62">
        <f>IF(B389="Expense",G389,0)</f>
        <v/>
      </c>
      <c r="Q389" s="61" t="n"/>
    </row>
    <row r="390">
      <c r="A390" s="60" t="n"/>
      <c r="B390" s="61" t="n"/>
      <c r="C390" s="61" t="n"/>
      <c r="D390" s="61" t="n"/>
      <c r="E390" s="61" t="n"/>
      <c r="F390" s="61" t="n"/>
      <c r="G390" s="62" t="n"/>
      <c r="H390" s="63">
        <f>IF(A390="","",Settings!$B$4)</f>
        <v/>
      </c>
      <c r="I390" s="62">
        <f>IF(G390="","",IF(OR(B390="Revenue",K390="Yes"),ROUND(G390*H390,2),0))</f>
        <v/>
      </c>
      <c r="J390" s="62">
        <f>IF(G390="","",G390+ROUND(G390*H390,2))</f>
        <v/>
      </c>
      <c r="K390" s="61" t="n"/>
      <c r="L390" s="64">
        <f>IF(A390="","",DATE(YEAR(A390),MONTH(A390),1))</f>
        <v/>
      </c>
      <c r="M390" s="61" t="n"/>
      <c r="N390" s="65" t="n"/>
      <c r="O390" s="62">
        <f>IF(B390="Revenue",G390,0)</f>
        <v/>
      </c>
      <c r="P390" s="62">
        <f>IF(B390="Expense",G390,0)</f>
        <v/>
      </c>
      <c r="Q390" s="61" t="n"/>
    </row>
    <row r="391">
      <c r="A391" s="60" t="n"/>
      <c r="B391" s="61" t="n"/>
      <c r="C391" s="61" t="n"/>
      <c r="D391" s="61" t="n"/>
      <c r="E391" s="61" t="n"/>
      <c r="F391" s="61" t="n"/>
      <c r="G391" s="62" t="n"/>
      <c r="H391" s="63">
        <f>IF(A391="","",Settings!$B$4)</f>
        <v/>
      </c>
      <c r="I391" s="62">
        <f>IF(G391="","",IF(OR(B391="Revenue",K391="Yes"),ROUND(G391*H391,2),0))</f>
        <v/>
      </c>
      <c r="J391" s="62">
        <f>IF(G391="","",G391+ROUND(G391*H391,2))</f>
        <v/>
      </c>
      <c r="K391" s="61" t="n"/>
      <c r="L391" s="64">
        <f>IF(A391="","",DATE(YEAR(A391),MONTH(A391),1))</f>
        <v/>
      </c>
      <c r="M391" s="61" t="n"/>
      <c r="N391" s="65" t="n"/>
      <c r="O391" s="62">
        <f>IF(B391="Revenue",G391,0)</f>
        <v/>
      </c>
      <c r="P391" s="62">
        <f>IF(B391="Expense",G391,0)</f>
        <v/>
      </c>
      <c r="Q391" s="61" t="n"/>
    </row>
    <row r="392">
      <c r="A392" s="60" t="n"/>
      <c r="B392" s="61" t="n"/>
      <c r="C392" s="61" t="n"/>
      <c r="D392" s="61" t="n"/>
      <c r="E392" s="61" t="n"/>
      <c r="F392" s="61" t="n"/>
      <c r="G392" s="62" t="n"/>
      <c r="H392" s="63">
        <f>IF(A392="","",Settings!$B$4)</f>
        <v/>
      </c>
      <c r="I392" s="62">
        <f>IF(G392="","",IF(OR(B392="Revenue",K392="Yes"),ROUND(G392*H392,2),0))</f>
        <v/>
      </c>
      <c r="J392" s="62">
        <f>IF(G392="","",G392+ROUND(G392*H392,2))</f>
        <v/>
      </c>
      <c r="K392" s="61" t="n"/>
      <c r="L392" s="64">
        <f>IF(A392="","",DATE(YEAR(A392),MONTH(A392),1))</f>
        <v/>
      </c>
      <c r="M392" s="61" t="n"/>
      <c r="N392" s="65" t="n"/>
      <c r="O392" s="62">
        <f>IF(B392="Revenue",G392,0)</f>
        <v/>
      </c>
      <c r="P392" s="62">
        <f>IF(B392="Expense",G392,0)</f>
        <v/>
      </c>
      <c r="Q392" s="61" t="n"/>
    </row>
    <row r="393">
      <c r="A393" s="60" t="n"/>
      <c r="B393" s="61" t="n"/>
      <c r="C393" s="61" t="n"/>
      <c r="D393" s="61" t="n"/>
      <c r="E393" s="61" t="n"/>
      <c r="F393" s="61" t="n"/>
      <c r="G393" s="62" t="n"/>
      <c r="H393" s="63">
        <f>IF(A393="","",Settings!$B$4)</f>
        <v/>
      </c>
      <c r="I393" s="62">
        <f>IF(G393="","",IF(OR(B393="Revenue",K393="Yes"),ROUND(G393*H393,2),0))</f>
        <v/>
      </c>
      <c r="J393" s="62">
        <f>IF(G393="","",G393+ROUND(G393*H393,2))</f>
        <v/>
      </c>
      <c r="K393" s="61" t="n"/>
      <c r="L393" s="64">
        <f>IF(A393="","",DATE(YEAR(A393),MONTH(A393),1))</f>
        <v/>
      </c>
      <c r="M393" s="61" t="n"/>
      <c r="N393" s="65" t="n"/>
      <c r="O393" s="62">
        <f>IF(B393="Revenue",G393,0)</f>
        <v/>
      </c>
      <c r="P393" s="62">
        <f>IF(B393="Expense",G393,0)</f>
        <v/>
      </c>
      <c r="Q393" s="61" t="n"/>
    </row>
    <row r="394">
      <c r="A394" s="60" t="n"/>
      <c r="B394" s="61" t="n"/>
      <c r="C394" s="61" t="n"/>
      <c r="D394" s="61" t="n"/>
      <c r="E394" s="61" t="n"/>
      <c r="F394" s="61" t="n"/>
      <c r="G394" s="62" t="n"/>
      <c r="H394" s="63">
        <f>IF(A394="","",Settings!$B$4)</f>
        <v/>
      </c>
      <c r="I394" s="62">
        <f>IF(G394="","",IF(OR(B394="Revenue",K394="Yes"),ROUND(G394*H394,2),0))</f>
        <v/>
      </c>
      <c r="J394" s="62">
        <f>IF(G394="","",G394+ROUND(G394*H394,2))</f>
        <v/>
      </c>
      <c r="K394" s="61" t="n"/>
      <c r="L394" s="64">
        <f>IF(A394="","",DATE(YEAR(A394),MONTH(A394),1))</f>
        <v/>
      </c>
      <c r="M394" s="61" t="n"/>
      <c r="N394" s="65" t="n"/>
      <c r="O394" s="62">
        <f>IF(B394="Revenue",G394,0)</f>
        <v/>
      </c>
      <c r="P394" s="62">
        <f>IF(B394="Expense",G394,0)</f>
        <v/>
      </c>
      <c r="Q394" s="61" t="n"/>
    </row>
    <row r="395">
      <c r="A395" s="60" t="n"/>
      <c r="B395" s="61" t="n"/>
      <c r="C395" s="61" t="n"/>
      <c r="D395" s="61" t="n"/>
      <c r="E395" s="61" t="n"/>
      <c r="F395" s="61" t="n"/>
      <c r="G395" s="62" t="n"/>
      <c r="H395" s="63">
        <f>IF(A395="","",Settings!$B$4)</f>
        <v/>
      </c>
      <c r="I395" s="62">
        <f>IF(G395="","",IF(OR(B395="Revenue",K395="Yes"),ROUND(G395*H395,2),0))</f>
        <v/>
      </c>
      <c r="J395" s="62">
        <f>IF(G395="","",G395+ROUND(G395*H395,2))</f>
        <v/>
      </c>
      <c r="K395" s="61" t="n"/>
      <c r="L395" s="64">
        <f>IF(A395="","",DATE(YEAR(A395),MONTH(A395),1))</f>
        <v/>
      </c>
      <c r="M395" s="61" t="n"/>
      <c r="N395" s="65" t="n"/>
      <c r="O395" s="62">
        <f>IF(B395="Revenue",G395,0)</f>
        <v/>
      </c>
      <c r="P395" s="62">
        <f>IF(B395="Expense",G395,0)</f>
        <v/>
      </c>
      <c r="Q395" s="61" t="n"/>
    </row>
    <row r="396">
      <c r="A396" s="60" t="n"/>
      <c r="B396" s="61" t="n"/>
      <c r="C396" s="61" t="n"/>
      <c r="D396" s="61" t="n"/>
      <c r="E396" s="61" t="n"/>
      <c r="F396" s="61" t="n"/>
      <c r="G396" s="62" t="n"/>
      <c r="H396" s="63">
        <f>IF(A396="","",Settings!$B$4)</f>
        <v/>
      </c>
      <c r="I396" s="62">
        <f>IF(G396="","",IF(OR(B396="Revenue",K396="Yes"),ROUND(G396*H396,2),0))</f>
        <v/>
      </c>
      <c r="J396" s="62">
        <f>IF(G396="","",G396+ROUND(G396*H396,2))</f>
        <v/>
      </c>
      <c r="K396" s="61" t="n"/>
      <c r="L396" s="64">
        <f>IF(A396="","",DATE(YEAR(A396),MONTH(A396),1))</f>
        <v/>
      </c>
      <c r="M396" s="61" t="n"/>
      <c r="N396" s="65" t="n"/>
      <c r="O396" s="62">
        <f>IF(B396="Revenue",G396,0)</f>
        <v/>
      </c>
      <c r="P396" s="62">
        <f>IF(B396="Expense",G396,0)</f>
        <v/>
      </c>
      <c r="Q396" s="61" t="n"/>
    </row>
    <row r="397">
      <c r="A397" s="60" t="n"/>
      <c r="B397" s="61" t="n"/>
      <c r="C397" s="61" t="n"/>
      <c r="D397" s="61" t="n"/>
      <c r="E397" s="61" t="n"/>
      <c r="F397" s="61" t="n"/>
      <c r="G397" s="62" t="n"/>
      <c r="H397" s="63">
        <f>IF(A397="","",Settings!$B$4)</f>
        <v/>
      </c>
      <c r="I397" s="62">
        <f>IF(G397="","",IF(OR(B397="Revenue",K397="Yes"),ROUND(G397*H397,2),0))</f>
        <v/>
      </c>
      <c r="J397" s="62">
        <f>IF(G397="","",G397+ROUND(G397*H397,2))</f>
        <v/>
      </c>
      <c r="K397" s="61" t="n"/>
      <c r="L397" s="64">
        <f>IF(A397="","",DATE(YEAR(A397),MONTH(A397),1))</f>
        <v/>
      </c>
      <c r="M397" s="61" t="n"/>
      <c r="N397" s="65" t="n"/>
      <c r="O397" s="62">
        <f>IF(B397="Revenue",G397,0)</f>
        <v/>
      </c>
      <c r="P397" s="62">
        <f>IF(B397="Expense",G397,0)</f>
        <v/>
      </c>
      <c r="Q397" s="61" t="n"/>
    </row>
  </sheetData>
  <mergeCells count="13">
    <mergeCell ref="A168:Q168"/>
    <mergeCell ref="A234:Q234"/>
    <mergeCell ref="A135:Q135"/>
    <mergeCell ref="A3:Q3"/>
    <mergeCell ref="A267:Q267"/>
    <mergeCell ref="A69:Q69"/>
    <mergeCell ref="A333:Q333"/>
    <mergeCell ref="A201:Q201"/>
    <mergeCell ref="A366:Q366"/>
    <mergeCell ref="A300:Q300"/>
    <mergeCell ref="A102:Q102"/>
    <mergeCell ref="A1:Q1"/>
    <mergeCell ref="A36:Q36"/>
  </mergeCells>
  <conditionalFormatting sqref="A5:Q412">
    <cfRule type="expression" priority="1" dxfId="4">
      <formula>$B5="Revenue"</formula>
    </cfRule>
    <cfRule type="expression" priority="2" dxfId="5">
      <formula>$B5="Expense"</formula>
    </cfRule>
  </conditionalFormatting>
  <dataValidations count="8">
    <dataValidation sqref="B5 B6 B7 B8 B9 B10 B11 B12 B13 B14 B15 B16 B17 B18 B19 B20 B21 B22 B23 B24 B25 B26 B27 B28 B29 B30 B31 B32 B33 B34 B38 B39 B40 B41 B42 B43 B44 B45 B46 B47 B48 B49 B50 B51 B52 B53 B54 B55 B56 B57 B58 B59 B60 B61 B62 B63 B64 B65 B66 B67 B71 B72 B73 B74 B75 B76 B77 B78 B79 B80 B81 B82 B83 B84 B85 B86 B87 B88 B89 B90 B91 B92 B93 B94 B95 B96 B97 B98 B99 B100 B104 B105 B106 B107 B108 B109 B110 B111 B112 B113 B114 B115 B116 B117 B118 B119 B120 B121 B122 B123 B124 B125 B126 B127 B128 B129 B130 B131 B132 B133 B137 B138 B139 B140 B141 B142 B143 B144 B145 B146 B147 B148 B149 B150 B151 B152 B153 B154 B155 B156 B157 B158 B159 B160 B161 B162 B163 B164 B165 B166 B170 B171 B172 B173 B174 B175 B176 B177 B178 B179 B180 B181 B182 B183 B184 B185 B186 B187 B188 B189 B190 B191 B192 B193 B194 B195 B196 B197 B198 B199 B203 B204 B205 B206 B207 B208 B209 B210 B211 B212 B213 B214 B215 B216 B217 B218 B219 B220 B221 B222 B223 B224 B225 B226 B227 B228 B229 B230 B231 B232 B236 B237 B238 B239 B240 B241 B242 B243 B244 B245 B246 B247 B248 B249 B250 B251 B252 B253 B254 B255 B256 B257 B258 B259 B260 B261 B262 B263 B264 B265 B269 B270 B271 B272 B273 B274 B275 B276 B277 B278 B279 B280 B281 B282 B283 B284 B285 B286 B287 B288 B289 B290 B291 B292 B293 B294 B295 B296 B297 B298 B302 B303 B304 B305 B306 B307 B308 B309 B310 B311 B312 B313 B314 B315 B316 B317 B318 B319 B320 B321 B322 B323 B324 B325 B326 B327 B328 B329 B330 B331 B335 B336 B337 B338 B339 B340 B341 B342 B343 B344 B345 B346 B347 B348 B349 B350 B351 B352 B353 B354 B355 B356 B357 B358 B359 B360 B361 B362 B363 B364 B368 B369 B370 B371 B372 B373 B374 B375 B376 B377 B378 B379 B380 B381 B382 B383 B384 B385 B386 B387 B388 B389 B390 B391 B392 B393 B394 B395 B396 B397" showDropDown="0" showInputMessage="0" showErrorMessage="0" allowBlank="1" type="list">
      <formula1>"Revenue,Expense"</formula1>
    </dataValidation>
    <dataValidation sqref="K5 K6 K7 K8 K9 K10 K11 K12 K13 K14 K15 K16 K17 K18 K19 K20 K21 K22 K23 K24 K25 K26 K27 K28 K29 K30 K31 K32 K33 K34 K38 K39 K40 K41 K42 K43 K44 K45 K46 K47 K48 K49 K50 K51 K52 K53 K54 K55 K56 K57 K58 K59 K60 K61 K62 K63 K64 K65 K66 K67 K71 K72 K73 K74 K75 K76 K77 K78 K79 K80 K81 K82 K83 K84 K85 K86 K87 K88 K89 K90 K91 K92 K93 K94 K95 K96 K97 K98 K99 K100 K104 K105 K106 K107 K108 K109 K110 K111 K112 K113 K114 K115 K116 K117 K118 K119 K120 K121 K122 K123 K124 K125 K126 K127 K128 K129 K130 K131 K132 K133 K137 K138 K139 K140 K141 K142 K143 K144 K145 K146 K147 K148 K149 K150 K151 K152 K153 K154 K155 K156 K157 K158 K159 K160 K161 K162 K163 K164 K165 K166 K170 K171 K172 K173 K174 K175 K176 K177 K178 K179 K180 K181 K182 K183 K184 K185 K186 K187 K188 K189 K190 K191 K192 K193 K194 K195 K196 K197 K198 K199 K203 K204 K205 K206 K207 K208 K209 K210 K211 K212 K213 K214 K215 K216 K217 K218 K219 K220 K221 K222 K223 K224 K225 K226 K227 K228 K229 K230 K231 K232 K236 K237 K238 K239 K240 K241 K242 K243 K244 K245 K246 K247 K248 K249 K250 K251 K252 K253 K254 K255 K256 K257 K258 K259 K260 K261 K262 K263 K264 K265 K269 K270 K271 K272 K273 K274 K275 K276 K277 K278 K279 K280 K281 K282 K283 K284 K285 K286 K287 K288 K289 K290 K291 K292 K293 K294 K295 K296 K297 K298 K302 K303 K304 K305 K306 K307 K308 K309 K310 K311 K312 K313 K314 K315 K316 K317 K318 K319 K320 K321 K322 K323 K324 K325 K326 K327 K328 K329 K330 K331 K335 K336 K337 K338 K339 K340 K341 K342 K343 K344 K345 K346 K347 K348 K349 K350 K351 K352 K353 K354 K355 K356 K357 K358 K359 K360 K361 K362 K363 K364 K368 K369 K370 K371 K372 K373 K374 K375 K376 K377 K378 K379 K380 K381 K382 K383 K384 K385 K386 K387 K388 K389 K390 K391 K392 K393 K394 K395 K396 K397" showDropDown="0" showInputMessage="0" showErrorMessage="0" allowBlank="1" type="list">
      <formula1>"Yes,No"</formula1>
    </dataValidation>
    <dataValidation sqref="F5 F6 F7 F8 F9 F10 F11 F12 F13 F14 F15 F16 F17 F18 F19 F20 F21 F22 F23 F24 F25 F26 F27 F28 F29 F30 F31 F32 F33 F34 F38 F39 F40 F41 F42 F43 F44 F45 F46 F47 F48 F49 F50 F51 F52 F53 F54 F55 F56 F57 F58 F59 F60 F61 F62 F63 F64 F65 F66 F67 F71 F72 F73 F74 F75 F76 F77 F78 F79 F80 F81 F82 F83 F84 F85 F86 F87 F88 F89 F90 F91 F92 F93 F94 F95 F96 F97 F98 F99 F100 F104 F105 F106 F107 F108 F109 F110 F111 F112 F113 F114 F115 F116 F117 F118 F119 F120 F121 F122 F123 F124 F125 F126 F127 F128 F129 F130 F131 F132 F133 F137 F138 F139 F140 F141 F142 F143 F144 F145 F146 F147 F148 F149 F150 F151 F152 F153 F154 F155 F156 F157 F158 F159 F160 F161 F162 F163 F164 F165 F166 F170 F171 F172 F173 F174 F175 F176 F177 F178 F179 F180 F181 F182 F183 F184 F185 F186 F187 F188 F189 F190 F191 F192 F193 F194 F195 F196 F197 F198 F199 F203 F204 F205 F206 F207 F208 F209 F210 F211 F212 F213 F214 F215 F216 F217 F218 F219 F220 F221 F222 F223 F224 F225 F226 F227 F228 F229 F230 F231 F232 F236 F237 F238 F239 F240 F241 F242 F243 F244 F245 F246 F247 F248 F249 F250 F251 F252 F253 F254 F255 F256 F257 F258 F259 F260 F261 F262 F263 F264 F265 F269 F270 F271 F272 F273 F274 F275 F276 F277 F278 F279 F280 F281 F282 F283 F284 F285 F286 F287 F288 F289 F290 F291 F292 F293 F294 F295 F296 F297 F298 F302 F303 F304 F305 F306 F307 F308 F309 F310 F311 F312 F313 F314 F315 F316 F317 F318 F319 F320 F321 F322 F323 F324 F325 F326 F327 F328 F329 F330 F331 F335 F336 F337 F338 F339 F340 F341 F342 F343 F344 F345 F346 F347 F348 F349 F350 F351 F352 F353 F354 F355 F356 F357 F358 F359 F360 F361 F362 F363 F364 F368 F369 F370 F371 F372 F373 F374 F375 F376 F377 F378 F379 F380 F381 F382 F383 F384 F385 F386 F387 F388 F389 F390 F391 F392 F393 F394 F395 F396 F397" showDropDown="0" showInputMessage="0" showErrorMessage="0" allowBlank="1" type="list">
      <formula1>Settings!$A$12:$A$19</formula1>
    </dataValidation>
    <dataValidation sqref="F5:F412" showDropDown="0" showInputMessage="0" showErrorMessage="0" allowBlank="1" type="list">
      <formula1>Settings!$A$12:$A$25</formula1>
    </dataValidation>
    <dataValidation sqref="D5:D412" showDropDown="0" showInputMessage="0" showErrorMessage="0" allowBlank="1" type="list">
      <formula1>Settings!$D$4:$D$7</formula1>
    </dataValidation>
    <dataValidation sqref="F5:F412" showDropDown="0" showInputMessage="0" showErrorMessage="0" allowBlank="1" type="list">
      <formula1>Settings!$A$12:$A$31</formula1>
    </dataValidation>
    <dataValidation sqref="R5:R397" showDropDown="0" showInputMessage="0" showErrorMessage="0" allowBlank="1" type="list">
      <formula1>=Settings!$F$4:$F$7</formula1>
    </dataValidation>
    <dataValidation sqref="R5:R397" showDropDown="0" showInputMessage="0" showErrorMessage="0" allowBlank="1" type="list">
      <formula1>=Settings!$F$4:$F$7</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03"/>
  <sheetViews>
    <sheetView showGridLines="0" workbookViewId="0">
      <selection activeCell="A1" sqref="A1"/>
    </sheetView>
  </sheetViews>
  <sheetFormatPr baseColWidth="8" defaultRowHeight="15"/>
  <cols>
    <col width="13.13000011444092" customWidth="1" min="1" max="1"/>
    <col width="16.8799991607666" customWidth="1" min="2" max="2"/>
    <col width="21.25" customWidth="1" min="3" max="3"/>
    <col width="27.5" customWidth="1" min="4" max="4"/>
    <col width="15" customWidth="1" min="5" max="5"/>
    <col width="10.63000011444092" customWidth="1" min="6" max="6"/>
    <col width="13.75" customWidth="1" min="7" max="7"/>
    <col width="15" customWidth="1" min="8" max="8"/>
    <col width="11.88000011444092" customWidth="1" min="9" max="9"/>
    <col width="11.88000011444092" customWidth="1" min="10" max="10"/>
    <col width="22.5" customWidth="1" min="11" max="11"/>
  </cols>
  <sheetData>
    <row r="1" ht="25.5" customHeight="1">
      <c r="A1" s="4" t="inlineStr">
        <is>
          <t>ตารางรายรับ / ภาษีขาย</t>
        </is>
      </c>
    </row>
    <row r="3">
      <c r="A3" s="10" t="inlineStr">
        <is>
          <t>วันที่</t>
        </is>
      </c>
      <c r="B3" s="10" t="inlineStr">
        <is>
          <t>เลขที่ใบกำกับ</t>
        </is>
      </c>
      <c r="C3" s="10" t="inlineStr">
        <is>
          <t>ลูกค้า</t>
        </is>
      </c>
      <c r="D3" s="10" t="inlineStr">
        <is>
          <t>รายละเอียด</t>
        </is>
      </c>
      <c r="E3" s="10" t="inlineStr">
        <is>
          <t>ยอดก่อน VAT</t>
        </is>
      </c>
      <c r="F3" s="10" t="inlineStr">
        <is>
          <t>อัตรา VAT</t>
        </is>
      </c>
      <c r="G3" s="10" t="inlineStr">
        <is>
          <t>ภาษีขาย</t>
        </is>
      </c>
      <c r="H3" s="10" t="inlineStr">
        <is>
          <t>ยอดรวม</t>
        </is>
      </c>
      <c r="I3" s="10" t="inlineStr">
        <is>
          <t>รับเงินแล้ว?</t>
        </is>
      </c>
      <c r="J3" s="10" t="inlineStr">
        <is>
          <t>เดือน</t>
        </is>
      </c>
      <c r="K3" s="10" t="inlineStr">
        <is>
          <t>หมายเหตุ</t>
        </is>
      </c>
    </row>
    <row r="4">
      <c r="A4" s="49" t="n"/>
      <c r="B4" s="14" t="n"/>
      <c r="C4" s="14" t="n"/>
      <c r="D4" s="14" t="n"/>
      <c r="E4" s="48" t="n"/>
      <c r="F4" s="50">
        <f>IF(A4="","",Settings!$B$4)</f>
        <v/>
      </c>
      <c r="G4" s="48">
        <f>IF(E4="","",ROUND(E4*F4,2))</f>
        <v/>
      </c>
      <c r="H4" s="48">
        <f>IF(E4="","",E4+G4)</f>
        <v/>
      </c>
      <c r="I4" s="14" t="n"/>
      <c r="J4" s="51">
        <f>IF(A4="","",DATE(YEAR(A4),MONTH(A4),1))</f>
        <v/>
      </c>
      <c r="K4" s="14" t="n"/>
    </row>
    <row r="5">
      <c r="A5" s="49" t="n"/>
      <c r="B5" s="14" t="n"/>
      <c r="C5" s="14" t="n"/>
      <c r="D5" s="14" t="n"/>
      <c r="E5" s="48" t="n"/>
      <c r="F5" s="50">
        <f>IF(A5="","",Settings!$B$4)</f>
        <v/>
      </c>
      <c r="G5" s="48">
        <f>IF(E5="","",ROUND(E5*F5,2))</f>
        <v/>
      </c>
      <c r="H5" s="48">
        <f>IF(E5="","",E5+G5)</f>
        <v/>
      </c>
      <c r="I5" s="14" t="n"/>
      <c r="J5" s="51">
        <f>IF(A5="","",DATE(YEAR(A5),MONTH(A5),1))</f>
        <v/>
      </c>
      <c r="K5" s="14" t="n"/>
    </row>
    <row r="6">
      <c r="A6" s="49" t="n"/>
      <c r="B6" s="14" t="n"/>
      <c r="C6" s="14" t="n"/>
      <c r="D6" s="14" t="n"/>
      <c r="E6" s="48" t="n"/>
      <c r="F6" s="50">
        <f>IF(A6="","",Settings!$B$4)</f>
        <v/>
      </c>
      <c r="G6" s="48">
        <f>IF(E6="","",ROUND(E6*F6,2))</f>
        <v/>
      </c>
      <c r="H6" s="48">
        <f>IF(E6="","",E6+G6)</f>
        <v/>
      </c>
      <c r="I6" s="14" t="n"/>
      <c r="J6" s="51">
        <f>IF(A6="","",DATE(YEAR(A6),MONTH(A6),1))</f>
        <v/>
      </c>
      <c r="K6" s="14" t="n"/>
    </row>
    <row r="7">
      <c r="A7" s="49" t="n"/>
      <c r="B7" s="14" t="n"/>
      <c r="C7" s="14" t="n"/>
      <c r="D7" s="14" t="n"/>
      <c r="E7" s="48" t="n"/>
      <c r="F7" s="50">
        <f>IF(A7="","",Settings!$B$4)</f>
        <v/>
      </c>
      <c r="G7" s="48">
        <f>IF(E7="","",ROUND(E7*F7,2))</f>
        <v/>
      </c>
      <c r="H7" s="48">
        <f>IF(E7="","",E7+G7)</f>
        <v/>
      </c>
      <c r="I7" s="14" t="n"/>
      <c r="J7" s="51">
        <f>IF(A7="","",DATE(YEAR(A7),MONTH(A7),1))</f>
        <v/>
      </c>
      <c r="K7" s="14" t="n"/>
    </row>
    <row r="8">
      <c r="A8" s="49" t="n"/>
      <c r="B8" s="14" t="n"/>
      <c r="C8" s="14" t="n"/>
      <c r="D8" s="14" t="n"/>
      <c r="E8" s="48" t="n"/>
      <c r="F8" s="50">
        <f>IF(A8="","",Settings!$B$4)</f>
        <v/>
      </c>
      <c r="G8" s="48">
        <f>IF(E8="","",ROUND(E8*F8,2))</f>
        <v/>
      </c>
      <c r="H8" s="48">
        <f>IF(E8="","",E8+G8)</f>
        <v/>
      </c>
      <c r="I8" s="14" t="n"/>
      <c r="J8" s="51">
        <f>IF(A8="","",DATE(YEAR(A8),MONTH(A8),1))</f>
        <v/>
      </c>
      <c r="K8" s="14" t="n"/>
    </row>
    <row r="9">
      <c r="A9" s="49" t="n"/>
      <c r="B9" s="14" t="n"/>
      <c r="C9" s="14" t="n"/>
      <c r="D9" s="14" t="n"/>
      <c r="E9" s="48" t="n"/>
      <c r="F9" s="50">
        <f>IF(A9="","",Settings!$B$4)</f>
        <v/>
      </c>
      <c r="G9" s="48">
        <f>IF(E9="","",ROUND(E9*F9,2))</f>
        <v/>
      </c>
      <c r="H9" s="48">
        <f>IF(E9="","",E9+G9)</f>
        <v/>
      </c>
      <c r="I9" s="14" t="n"/>
      <c r="J9" s="51">
        <f>IF(A9="","",DATE(YEAR(A9),MONTH(A9),1))</f>
        <v/>
      </c>
      <c r="K9" s="14" t="n"/>
    </row>
    <row r="10">
      <c r="A10" s="49" t="n"/>
      <c r="B10" s="14" t="n"/>
      <c r="C10" s="14" t="n"/>
      <c r="D10" s="14" t="n"/>
      <c r="E10" s="48" t="n"/>
      <c r="F10" s="50">
        <f>IF(A10="","",Settings!$B$4)</f>
        <v/>
      </c>
      <c r="G10" s="48">
        <f>IF(E10="","",ROUND(E10*F10,2))</f>
        <v/>
      </c>
      <c r="H10" s="48">
        <f>IF(E10="","",E10+G10)</f>
        <v/>
      </c>
      <c r="I10" s="14" t="n"/>
      <c r="J10" s="51">
        <f>IF(A10="","",DATE(YEAR(A10),MONTH(A10),1))</f>
        <v/>
      </c>
      <c r="K10" s="14" t="n"/>
    </row>
    <row r="11">
      <c r="A11" s="49" t="n"/>
      <c r="B11" s="14" t="n"/>
      <c r="C11" s="14" t="n"/>
      <c r="D11" s="14" t="n"/>
      <c r="E11" s="48" t="n"/>
      <c r="F11" s="50">
        <f>IF(A11="","",Settings!$B$4)</f>
        <v/>
      </c>
      <c r="G11" s="48">
        <f>IF(E11="","",ROUND(E11*F11,2))</f>
        <v/>
      </c>
      <c r="H11" s="48">
        <f>IF(E11="","",E11+G11)</f>
        <v/>
      </c>
      <c r="I11" s="14" t="n"/>
      <c r="J11" s="51">
        <f>IF(A11="","",DATE(YEAR(A11),MONTH(A11),1))</f>
        <v/>
      </c>
      <c r="K11" s="14" t="n"/>
    </row>
    <row r="12">
      <c r="A12" s="49" t="n"/>
      <c r="B12" s="14" t="n"/>
      <c r="C12" s="14" t="n"/>
      <c r="D12" s="14" t="n"/>
      <c r="E12" s="48" t="n"/>
      <c r="F12" s="50">
        <f>IF(A12="","",Settings!$B$4)</f>
        <v/>
      </c>
      <c r="G12" s="48">
        <f>IF(E12="","",ROUND(E12*F12,2))</f>
        <v/>
      </c>
      <c r="H12" s="48">
        <f>IF(E12="","",E12+G12)</f>
        <v/>
      </c>
      <c r="I12" s="14" t="n"/>
      <c r="J12" s="51">
        <f>IF(A12="","",DATE(YEAR(A12),MONTH(A12),1))</f>
        <v/>
      </c>
      <c r="K12" s="14" t="n"/>
    </row>
    <row r="13">
      <c r="A13" s="49" t="n"/>
      <c r="B13" s="14" t="n"/>
      <c r="C13" s="14" t="n"/>
      <c r="D13" s="14" t="n"/>
      <c r="E13" s="48" t="n"/>
      <c r="F13" s="50">
        <f>IF(A13="","",Settings!$B$4)</f>
        <v/>
      </c>
      <c r="G13" s="48">
        <f>IF(E13="","",ROUND(E13*F13,2))</f>
        <v/>
      </c>
      <c r="H13" s="48">
        <f>IF(E13="","",E13+G13)</f>
        <v/>
      </c>
      <c r="I13" s="14" t="n"/>
      <c r="J13" s="51">
        <f>IF(A13="","",DATE(YEAR(A13),MONTH(A13),1))</f>
        <v/>
      </c>
      <c r="K13" s="14" t="n"/>
    </row>
    <row r="14">
      <c r="A14" s="49" t="n"/>
      <c r="B14" s="14" t="n"/>
      <c r="C14" s="14" t="n"/>
      <c r="D14" s="14" t="n"/>
      <c r="E14" s="48" t="n"/>
      <c r="F14" s="50">
        <f>IF(A14="","",Settings!$B$4)</f>
        <v/>
      </c>
      <c r="G14" s="48">
        <f>IF(E14="","",ROUND(E14*F14,2))</f>
        <v/>
      </c>
      <c r="H14" s="48">
        <f>IF(E14="","",E14+G14)</f>
        <v/>
      </c>
      <c r="I14" s="14" t="n"/>
      <c r="J14" s="51">
        <f>IF(A14="","",DATE(YEAR(A14),MONTH(A14),1))</f>
        <v/>
      </c>
      <c r="K14" s="14" t="n"/>
    </row>
    <row r="15">
      <c r="A15" s="49" t="n"/>
      <c r="B15" s="14" t="n"/>
      <c r="C15" s="14" t="n"/>
      <c r="D15" s="14" t="n"/>
      <c r="E15" s="48" t="n"/>
      <c r="F15" s="50">
        <f>IF(A15="","",Settings!$B$4)</f>
        <v/>
      </c>
      <c r="G15" s="48">
        <f>IF(E15="","",ROUND(E15*F15,2))</f>
        <v/>
      </c>
      <c r="H15" s="48">
        <f>IF(E15="","",E15+G15)</f>
        <v/>
      </c>
      <c r="I15" s="14" t="n"/>
      <c r="J15" s="51">
        <f>IF(A15="","",DATE(YEAR(A15),MONTH(A15),1))</f>
        <v/>
      </c>
      <c r="K15" s="14" t="n"/>
    </row>
    <row r="16">
      <c r="A16" s="49" t="n"/>
      <c r="B16" s="14" t="n"/>
      <c r="C16" s="14" t="n"/>
      <c r="D16" s="14" t="n"/>
      <c r="E16" s="48" t="n"/>
      <c r="F16" s="50">
        <f>IF(A16="","",Settings!$B$4)</f>
        <v/>
      </c>
      <c r="G16" s="48">
        <f>IF(E16="","",ROUND(E16*F16,2))</f>
        <v/>
      </c>
      <c r="H16" s="48">
        <f>IF(E16="","",E16+G16)</f>
        <v/>
      </c>
      <c r="I16" s="14" t="n"/>
      <c r="J16" s="51">
        <f>IF(A16="","",DATE(YEAR(A16),MONTH(A16),1))</f>
        <v/>
      </c>
      <c r="K16" s="14" t="n"/>
    </row>
    <row r="17">
      <c r="A17" s="49" t="n"/>
      <c r="B17" s="14" t="n"/>
      <c r="C17" s="14" t="n"/>
      <c r="D17" s="14" t="n"/>
      <c r="E17" s="48" t="n"/>
      <c r="F17" s="50">
        <f>IF(A17="","",Settings!$B$4)</f>
        <v/>
      </c>
      <c r="G17" s="48">
        <f>IF(E17="","",ROUND(E17*F17,2))</f>
        <v/>
      </c>
      <c r="H17" s="48">
        <f>IF(E17="","",E17+G17)</f>
        <v/>
      </c>
      <c r="I17" s="14" t="n"/>
      <c r="J17" s="51">
        <f>IF(A17="","",DATE(YEAR(A17),MONTH(A17),1))</f>
        <v/>
      </c>
      <c r="K17" s="14" t="n"/>
    </row>
    <row r="18">
      <c r="A18" s="49" t="n"/>
      <c r="B18" s="14" t="n"/>
      <c r="C18" s="14" t="n"/>
      <c r="D18" s="14" t="n"/>
      <c r="E18" s="48" t="n"/>
      <c r="F18" s="50">
        <f>IF(A18="","",Settings!$B$4)</f>
        <v/>
      </c>
      <c r="G18" s="48">
        <f>IF(E18="","",ROUND(E18*F18,2))</f>
        <v/>
      </c>
      <c r="H18" s="48">
        <f>IF(E18="","",E18+G18)</f>
        <v/>
      </c>
      <c r="I18" s="14" t="n"/>
      <c r="J18" s="51">
        <f>IF(A18="","",DATE(YEAR(A18),MONTH(A18),1))</f>
        <v/>
      </c>
      <c r="K18" s="14" t="n"/>
    </row>
    <row r="19">
      <c r="A19" s="49" t="n"/>
      <c r="B19" s="14" t="n"/>
      <c r="C19" s="14" t="n"/>
      <c r="D19" s="14" t="n"/>
      <c r="E19" s="48" t="n"/>
      <c r="F19" s="50">
        <f>IF(A19="","",Settings!$B$4)</f>
        <v/>
      </c>
      <c r="G19" s="48">
        <f>IF(E19="","",ROUND(E19*F19,2))</f>
        <v/>
      </c>
      <c r="H19" s="48">
        <f>IF(E19="","",E19+G19)</f>
        <v/>
      </c>
      <c r="I19" s="14" t="n"/>
      <c r="J19" s="51">
        <f>IF(A19="","",DATE(YEAR(A19),MONTH(A19),1))</f>
        <v/>
      </c>
      <c r="K19" s="14" t="n"/>
    </row>
    <row r="20">
      <c r="A20" s="49" t="n"/>
      <c r="B20" s="14" t="n"/>
      <c r="C20" s="14" t="n"/>
      <c r="D20" s="14" t="n"/>
      <c r="E20" s="48" t="n"/>
      <c r="F20" s="50">
        <f>IF(A20="","",Settings!$B$4)</f>
        <v/>
      </c>
      <c r="G20" s="48">
        <f>IF(E20="","",ROUND(E20*F20,2))</f>
        <v/>
      </c>
      <c r="H20" s="48">
        <f>IF(E20="","",E20+G20)</f>
        <v/>
      </c>
      <c r="I20" s="14" t="n"/>
      <c r="J20" s="51">
        <f>IF(A20="","",DATE(YEAR(A20),MONTH(A20),1))</f>
        <v/>
      </c>
      <c r="K20" s="14" t="n"/>
    </row>
    <row r="21">
      <c r="A21" s="49" t="n"/>
      <c r="B21" s="14" t="n"/>
      <c r="C21" s="14" t="n"/>
      <c r="D21" s="14" t="n"/>
      <c r="E21" s="48" t="n"/>
      <c r="F21" s="50">
        <f>IF(A21="","",Settings!$B$4)</f>
        <v/>
      </c>
      <c r="G21" s="48">
        <f>IF(E21="","",ROUND(E21*F21,2))</f>
        <v/>
      </c>
      <c r="H21" s="48">
        <f>IF(E21="","",E21+G21)</f>
        <v/>
      </c>
      <c r="I21" s="14" t="n"/>
      <c r="J21" s="51">
        <f>IF(A21="","",DATE(YEAR(A21),MONTH(A21),1))</f>
        <v/>
      </c>
      <c r="K21" s="14" t="n"/>
    </row>
    <row r="22">
      <c r="A22" s="49" t="n"/>
      <c r="B22" s="14" t="n"/>
      <c r="C22" s="14" t="n"/>
      <c r="D22" s="14" t="n"/>
      <c r="E22" s="48" t="n"/>
      <c r="F22" s="50">
        <f>IF(A22="","",Settings!$B$4)</f>
        <v/>
      </c>
      <c r="G22" s="48">
        <f>IF(E22="","",ROUND(E22*F22,2))</f>
        <v/>
      </c>
      <c r="H22" s="48">
        <f>IF(E22="","",E22+G22)</f>
        <v/>
      </c>
      <c r="I22" s="14" t="n"/>
      <c r="J22" s="51">
        <f>IF(A22="","",DATE(YEAR(A22),MONTH(A22),1))</f>
        <v/>
      </c>
      <c r="K22" s="14" t="n"/>
    </row>
    <row r="23">
      <c r="A23" s="49" t="n"/>
      <c r="B23" s="14" t="n"/>
      <c r="C23" s="14" t="n"/>
      <c r="D23" s="14" t="n"/>
      <c r="E23" s="48" t="n"/>
      <c r="F23" s="50">
        <f>IF(A23="","",Settings!$B$4)</f>
        <v/>
      </c>
      <c r="G23" s="48">
        <f>IF(E23="","",ROUND(E23*F23,2))</f>
        <v/>
      </c>
      <c r="H23" s="48">
        <f>IF(E23="","",E23+G23)</f>
        <v/>
      </c>
      <c r="I23" s="14" t="n"/>
      <c r="J23" s="51">
        <f>IF(A23="","",DATE(YEAR(A23),MONTH(A23),1))</f>
        <v/>
      </c>
      <c r="K23" s="14" t="n"/>
    </row>
    <row r="24">
      <c r="A24" s="49" t="n"/>
      <c r="B24" s="14" t="n"/>
      <c r="C24" s="14" t="n"/>
      <c r="D24" s="14" t="n"/>
      <c r="E24" s="48" t="n"/>
      <c r="F24" s="50">
        <f>IF(A24="","",Settings!$B$4)</f>
        <v/>
      </c>
      <c r="G24" s="48">
        <f>IF(E24="","",ROUND(E24*F24,2))</f>
        <v/>
      </c>
      <c r="H24" s="48">
        <f>IF(E24="","",E24+G24)</f>
        <v/>
      </c>
      <c r="I24" s="14" t="n"/>
      <c r="J24" s="51">
        <f>IF(A24="","",DATE(YEAR(A24),MONTH(A24),1))</f>
        <v/>
      </c>
      <c r="K24" s="14" t="n"/>
    </row>
    <row r="25">
      <c r="A25" s="49" t="n"/>
      <c r="B25" s="14" t="n"/>
      <c r="C25" s="14" t="n"/>
      <c r="D25" s="14" t="n"/>
      <c r="E25" s="48" t="n"/>
      <c r="F25" s="50">
        <f>IF(A25="","",Settings!$B$4)</f>
        <v/>
      </c>
      <c r="G25" s="48">
        <f>IF(E25="","",ROUND(E25*F25,2))</f>
        <v/>
      </c>
      <c r="H25" s="48">
        <f>IF(E25="","",E25+G25)</f>
        <v/>
      </c>
      <c r="I25" s="14" t="n"/>
      <c r="J25" s="51">
        <f>IF(A25="","",DATE(YEAR(A25),MONTH(A25),1))</f>
        <v/>
      </c>
      <c r="K25" s="14" t="n"/>
    </row>
    <row r="26">
      <c r="A26" s="49" t="n"/>
      <c r="B26" s="14" t="n"/>
      <c r="C26" s="14" t="n"/>
      <c r="D26" s="14" t="n"/>
      <c r="E26" s="48" t="n"/>
      <c r="F26" s="50">
        <f>IF(A26="","",Settings!$B$4)</f>
        <v/>
      </c>
      <c r="G26" s="48">
        <f>IF(E26="","",ROUND(E26*F26,2))</f>
        <v/>
      </c>
      <c r="H26" s="48">
        <f>IF(E26="","",E26+G26)</f>
        <v/>
      </c>
      <c r="I26" s="14" t="n"/>
      <c r="J26" s="51">
        <f>IF(A26="","",DATE(YEAR(A26),MONTH(A26),1))</f>
        <v/>
      </c>
      <c r="K26" s="14" t="n"/>
    </row>
    <row r="27">
      <c r="A27" s="49" t="n"/>
      <c r="B27" s="14" t="n"/>
      <c r="C27" s="14" t="n"/>
      <c r="D27" s="14" t="n"/>
      <c r="E27" s="48" t="n"/>
      <c r="F27" s="50">
        <f>IF(A27="","",Settings!$B$4)</f>
        <v/>
      </c>
      <c r="G27" s="48">
        <f>IF(E27="","",ROUND(E27*F27,2))</f>
        <v/>
      </c>
      <c r="H27" s="48">
        <f>IF(E27="","",E27+G27)</f>
        <v/>
      </c>
      <c r="I27" s="14" t="n"/>
      <c r="J27" s="51">
        <f>IF(A27="","",DATE(YEAR(A27),MONTH(A27),1))</f>
        <v/>
      </c>
      <c r="K27" s="14" t="n"/>
    </row>
    <row r="28">
      <c r="A28" s="49" t="n"/>
      <c r="B28" s="14" t="n"/>
      <c r="C28" s="14" t="n"/>
      <c r="D28" s="14" t="n"/>
      <c r="E28" s="48" t="n"/>
      <c r="F28" s="50">
        <f>IF(A28="","",Settings!$B$4)</f>
        <v/>
      </c>
      <c r="G28" s="48">
        <f>IF(E28="","",ROUND(E28*F28,2))</f>
        <v/>
      </c>
      <c r="H28" s="48">
        <f>IF(E28="","",E28+G28)</f>
        <v/>
      </c>
      <c r="I28" s="14" t="n"/>
      <c r="J28" s="51">
        <f>IF(A28="","",DATE(YEAR(A28),MONTH(A28),1))</f>
        <v/>
      </c>
      <c r="K28" s="14" t="n"/>
    </row>
    <row r="29">
      <c r="A29" s="49" t="n"/>
      <c r="B29" s="14" t="n"/>
      <c r="C29" s="14" t="n"/>
      <c r="D29" s="14" t="n"/>
      <c r="E29" s="48" t="n"/>
      <c r="F29" s="50">
        <f>IF(A29="","",Settings!$B$4)</f>
        <v/>
      </c>
      <c r="G29" s="48">
        <f>IF(E29="","",ROUND(E29*F29,2))</f>
        <v/>
      </c>
      <c r="H29" s="48">
        <f>IF(E29="","",E29+G29)</f>
        <v/>
      </c>
      <c r="I29" s="14" t="n"/>
      <c r="J29" s="51">
        <f>IF(A29="","",DATE(YEAR(A29),MONTH(A29),1))</f>
        <v/>
      </c>
      <c r="K29" s="14" t="n"/>
    </row>
    <row r="30">
      <c r="A30" s="49" t="n"/>
      <c r="B30" s="14" t="n"/>
      <c r="C30" s="14" t="n"/>
      <c r="D30" s="14" t="n"/>
      <c r="E30" s="48" t="n"/>
      <c r="F30" s="50">
        <f>IF(A30="","",Settings!$B$4)</f>
        <v/>
      </c>
      <c r="G30" s="48">
        <f>IF(E30="","",ROUND(E30*F30,2))</f>
        <v/>
      </c>
      <c r="H30" s="48">
        <f>IF(E30="","",E30+G30)</f>
        <v/>
      </c>
      <c r="I30" s="14" t="n"/>
      <c r="J30" s="51">
        <f>IF(A30="","",DATE(YEAR(A30),MONTH(A30),1))</f>
        <v/>
      </c>
      <c r="K30" s="14" t="n"/>
    </row>
    <row r="31">
      <c r="A31" s="49" t="n"/>
      <c r="B31" s="14" t="n"/>
      <c r="C31" s="14" t="n"/>
      <c r="D31" s="14" t="n"/>
      <c r="E31" s="48" t="n"/>
      <c r="F31" s="50">
        <f>IF(A31="","",Settings!$B$4)</f>
        <v/>
      </c>
      <c r="G31" s="48">
        <f>IF(E31="","",ROUND(E31*F31,2))</f>
        <v/>
      </c>
      <c r="H31" s="48">
        <f>IF(E31="","",E31+G31)</f>
        <v/>
      </c>
      <c r="I31" s="14" t="n"/>
      <c r="J31" s="51">
        <f>IF(A31="","",DATE(YEAR(A31),MONTH(A31),1))</f>
        <v/>
      </c>
      <c r="K31" s="14" t="n"/>
    </row>
    <row r="32">
      <c r="A32" s="49" t="n"/>
      <c r="B32" s="14" t="n"/>
      <c r="C32" s="14" t="n"/>
      <c r="D32" s="14" t="n"/>
      <c r="E32" s="48" t="n"/>
      <c r="F32" s="50">
        <f>IF(A32="","",Settings!$B$4)</f>
        <v/>
      </c>
      <c r="G32" s="48">
        <f>IF(E32="","",ROUND(E32*F32,2))</f>
        <v/>
      </c>
      <c r="H32" s="48">
        <f>IF(E32="","",E32+G32)</f>
        <v/>
      </c>
      <c r="I32" s="14" t="n"/>
      <c r="J32" s="51">
        <f>IF(A32="","",DATE(YEAR(A32),MONTH(A32),1))</f>
        <v/>
      </c>
      <c r="K32" s="14" t="n"/>
    </row>
    <row r="33">
      <c r="A33" s="49" t="n"/>
      <c r="B33" s="14" t="n"/>
      <c r="C33" s="14" t="n"/>
      <c r="D33" s="14" t="n"/>
      <c r="E33" s="48" t="n"/>
      <c r="F33" s="50">
        <f>IF(A33="","",Settings!$B$4)</f>
        <v/>
      </c>
      <c r="G33" s="48">
        <f>IF(E33="","",ROUND(E33*F33,2))</f>
        <v/>
      </c>
      <c r="H33" s="48">
        <f>IF(E33="","",E33+G33)</f>
        <v/>
      </c>
      <c r="I33" s="14" t="n"/>
      <c r="J33" s="51">
        <f>IF(A33="","",DATE(YEAR(A33),MONTH(A33),1))</f>
        <v/>
      </c>
      <c r="K33" s="14" t="n"/>
    </row>
    <row r="34">
      <c r="A34" s="49" t="n"/>
      <c r="B34" s="14" t="n"/>
      <c r="C34" s="14" t="n"/>
      <c r="D34" s="14" t="n"/>
      <c r="E34" s="48" t="n"/>
      <c r="F34" s="50">
        <f>IF(A34="","",Settings!$B$4)</f>
        <v/>
      </c>
      <c r="G34" s="48">
        <f>IF(E34="","",ROUND(E34*F34,2))</f>
        <v/>
      </c>
      <c r="H34" s="48">
        <f>IF(E34="","",E34+G34)</f>
        <v/>
      </c>
      <c r="I34" s="14" t="n"/>
      <c r="J34" s="51">
        <f>IF(A34="","",DATE(YEAR(A34),MONTH(A34),1))</f>
        <v/>
      </c>
      <c r="K34" s="14" t="n"/>
    </row>
    <row r="35">
      <c r="A35" s="49" t="n"/>
      <c r="B35" s="14" t="n"/>
      <c r="C35" s="14" t="n"/>
      <c r="D35" s="14" t="n"/>
      <c r="E35" s="48" t="n"/>
      <c r="F35" s="50">
        <f>IF(A35="","",Settings!$B$4)</f>
        <v/>
      </c>
      <c r="G35" s="48">
        <f>IF(E35="","",ROUND(E35*F35,2))</f>
        <v/>
      </c>
      <c r="H35" s="48">
        <f>IF(E35="","",E35+G35)</f>
        <v/>
      </c>
      <c r="I35" s="14" t="n"/>
      <c r="J35" s="51">
        <f>IF(A35="","",DATE(YEAR(A35),MONTH(A35),1))</f>
        <v/>
      </c>
      <c r="K35" s="14" t="n"/>
    </row>
    <row r="36">
      <c r="A36" s="49" t="n"/>
      <c r="B36" s="14" t="n"/>
      <c r="C36" s="14" t="n"/>
      <c r="D36" s="14" t="n"/>
      <c r="E36" s="48" t="n"/>
      <c r="F36" s="50">
        <f>IF(A36="","",Settings!$B$4)</f>
        <v/>
      </c>
      <c r="G36" s="48">
        <f>IF(E36="","",ROUND(E36*F36,2))</f>
        <v/>
      </c>
      <c r="H36" s="48">
        <f>IF(E36="","",E36+G36)</f>
        <v/>
      </c>
      <c r="I36" s="14" t="n"/>
      <c r="J36" s="51">
        <f>IF(A36="","",DATE(YEAR(A36),MONTH(A36),1))</f>
        <v/>
      </c>
      <c r="K36" s="14" t="n"/>
    </row>
    <row r="37">
      <c r="A37" s="49" t="n"/>
      <c r="B37" s="14" t="n"/>
      <c r="C37" s="14" t="n"/>
      <c r="D37" s="14" t="n"/>
      <c r="E37" s="48" t="n"/>
      <c r="F37" s="50">
        <f>IF(A37="","",Settings!$B$4)</f>
        <v/>
      </c>
      <c r="G37" s="48">
        <f>IF(E37="","",ROUND(E37*F37,2))</f>
        <v/>
      </c>
      <c r="H37" s="48">
        <f>IF(E37="","",E37+G37)</f>
        <v/>
      </c>
      <c r="I37" s="14" t="n"/>
      <c r="J37" s="51">
        <f>IF(A37="","",DATE(YEAR(A37),MONTH(A37),1))</f>
        <v/>
      </c>
      <c r="K37" s="14" t="n"/>
    </row>
    <row r="38">
      <c r="A38" s="49" t="n"/>
      <c r="B38" s="14" t="n"/>
      <c r="C38" s="14" t="n"/>
      <c r="D38" s="14" t="n"/>
      <c r="E38" s="48" t="n"/>
      <c r="F38" s="50">
        <f>IF(A38="","",Settings!$B$4)</f>
        <v/>
      </c>
      <c r="G38" s="48">
        <f>IF(E38="","",ROUND(E38*F38,2))</f>
        <v/>
      </c>
      <c r="H38" s="48">
        <f>IF(E38="","",E38+G38)</f>
        <v/>
      </c>
      <c r="I38" s="14" t="n"/>
      <c r="J38" s="51">
        <f>IF(A38="","",DATE(YEAR(A38),MONTH(A38),1))</f>
        <v/>
      </c>
      <c r="K38" s="14" t="n"/>
    </row>
    <row r="39">
      <c r="A39" s="49" t="n"/>
      <c r="B39" s="14" t="n"/>
      <c r="C39" s="14" t="n"/>
      <c r="D39" s="14" t="n"/>
      <c r="E39" s="48" t="n"/>
      <c r="F39" s="50">
        <f>IF(A39="","",Settings!$B$4)</f>
        <v/>
      </c>
      <c r="G39" s="48">
        <f>IF(E39="","",ROUND(E39*F39,2))</f>
        <v/>
      </c>
      <c r="H39" s="48">
        <f>IF(E39="","",E39+G39)</f>
        <v/>
      </c>
      <c r="I39" s="14" t="n"/>
      <c r="J39" s="51">
        <f>IF(A39="","",DATE(YEAR(A39),MONTH(A39),1))</f>
        <v/>
      </c>
      <c r="K39" s="14" t="n"/>
    </row>
    <row r="40">
      <c r="A40" s="49" t="n"/>
      <c r="B40" s="14" t="n"/>
      <c r="C40" s="14" t="n"/>
      <c r="D40" s="14" t="n"/>
      <c r="E40" s="48" t="n"/>
      <c r="F40" s="50">
        <f>IF(A40="","",Settings!$B$4)</f>
        <v/>
      </c>
      <c r="G40" s="48">
        <f>IF(E40="","",ROUND(E40*F40,2))</f>
        <v/>
      </c>
      <c r="H40" s="48">
        <f>IF(E40="","",E40+G40)</f>
        <v/>
      </c>
      <c r="I40" s="14" t="n"/>
      <c r="J40" s="51">
        <f>IF(A40="","",DATE(YEAR(A40),MONTH(A40),1))</f>
        <v/>
      </c>
      <c r="K40" s="14" t="n"/>
    </row>
    <row r="41">
      <c r="A41" s="49" t="n"/>
      <c r="B41" s="14" t="n"/>
      <c r="C41" s="14" t="n"/>
      <c r="D41" s="14" t="n"/>
      <c r="E41" s="48" t="n"/>
      <c r="F41" s="50">
        <f>IF(A41="","",Settings!$B$4)</f>
        <v/>
      </c>
      <c r="G41" s="48">
        <f>IF(E41="","",ROUND(E41*F41,2))</f>
        <v/>
      </c>
      <c r="H41" s="48">
        <f>IF(E41="","",E41+G41)</f>
        <v/>
      </c>
      <c r="I41" s="14" t="n"/>
      <c r="J41" s="51">
        <f>IF(A41="","",DATE(YEAR(A41),MONTH(A41),1))</f>
        <v/>
      </c>
      <c r="K41" s="14" t="n"/>
    </row>
    <row r="42">
      <c r="A42" s="49" t="n"/>
      <c r="B42" s="14" t="n"/>
      <c r="C42" s="14" t="n"/>
      <c r="D42" s="14" t="n"/>
      <c r="E42" s="48" t="n"/>
      <c r="F42" s="50">
        <f>IF(A42="","",Settings!$B$4)</f>
        <v/>
      </c>
      <c r="G42" s="48">
        <f>IF(E42="","",ROUND(E42*F42,2))</f>
        <v/>
      </c>
      <c r="H42" s="48">
        <f>IF(E42="","",E42+G42)</f>
        <v/>
      </c>
      <c r="I42" s="14" t="n"/>
      <c r="J42" s="51">
        <f>IF(A42="","",DATE(YEAR(A42),MONTH(A42),1))</f>
        <v/>
      </c>
      <c r="K42" s="14" t="n"/>
    </row>
    <row r="43">
      <c r="A43" s="49" t="n"/>
      <c r="B43" s="14" t="n"/>
      <c r="C43" s="14" t="n"/>
      <c r="D43" s="14" t="n"/>
      <c r="E43" s="48" t="n"/>
      <c r="F43" s="50">
        <f>IF(A43="","",Settings!$B$4)</f>
        <v/>
      </c>
      <c r="G43" s="48">
        <f>IF(E43="","",ROUND(E43*F43,2))</f>
        <v/>
      </c>
      <c r="H43" s="48">
        <f>IF(E43="","",E43+G43)</f>
        <v/>
      </c>
      <c r="I43" s="14" t="n"/>
      <c r="J43" s="51">
        <f>IF(A43="","",DATE(YEAR(A43),MONTH(A43),1))</f>
        <v/>
      </c>
      <c r="K43" s="14" t="n"/>
    </row>
    <row r="44">
      <c r="A44" s="49" t="n"/>
      <c r="B44" s="14" t="n"/>
      <c r="C44" s="14" t="n"/>
      <c r="D44" s="14" t="n"/>
      <c r="E44" s="48" t="n"/>
      <c r="F44" s="50">
        <f>IF(A44="","",Settings!$B$4)</f>
        <v/>
      </c>
      <c r="G44" s="48">
        <f>IF(E44="","",ROUND(E44*F44,2))</f>
        <v/>
      </c>
      <c r="H44" s="48">
        <f>IF(E44="","",E44+G44)</f>
        <v/>
      </c>
      <c r="I44" s="14" t="n"/>
      <c r="J44" s="51">
        <f>IF(A44="","",DATE(YEAR(A44),MONTH(A44),1))</f>
        <v/>
      </c>
      <c r="K44" s="14" t="n"/>
    </row>
    <row r="45">
      <c r="A45" s="49" t="n"/>
      <c r="B45" s="14" t="n"/>
      <c r="C45" s="14" t="n"/>
      <c r="D45" s="14" t="n"/>
      <c r="E45" s="48" t="n"/>
      <c r="F45" s="50">
        <f>IF(A45="","",Settings!$B$4)</f>
        <v/>
      </c>
      <c r="G45" s="48">
        <f>IF(E45="","",ROUND(E45*F45,2))</f>
        <v/>
      </c>
      <c r="H45" s="48">
        <f>IF(E45="","",E45+G45)</f>
        <v/>
      </c>
      <c r="I45" s="14" t="n"/>
      <c r="J45" s="51">
        <f>IF(A45="","",DATE(YEAR(A45),MONTH(A45),1))</f>
        <v/>
      </c>
      <c r="K45" s="14" t="n"/>
    </row>
    <row r="46">
      <c r="A46" s="49" t="n"/>
      <c r="B46" s="14" t="n"/>
      <c r="C46" s="14" t="n"/>
      <c r="D46" s="14" t="n"/>
      <c r="E46" s="48" t="n"/>
      <c r="F46" s="50">
        <f>IF(A46="","",Settings!$B$4)</f>
        <v/>
      </c>
      <c r="G46" s="48">
        <f>IF(E46="","",ROUND(E46*F46,2))</f>
        <v/>
      </c>
      <c r="H46" s="48">
        <f>IF(E46="","",E46+G46)</f>
        <v/>
      </c>
      <c r="I46" s="14" t="n"/>
      <c r="J46" s="51">
        <f>IF(A46="","",DATE(YEAR(A46),MONTH(A46),1))</f>
        <v/>
      </c>
      <c r="K46" s="14" t="n"/>
    </row>
    <row r="47">
      <c r="A47" s="49" t="n"/>
      <c r="B47" s="14" t="n"/>
      <c r="C47" s="14" t="n"/>
      <c r="D47" s="14" t="n"/>
      <c r="E47" s="48" t="n"/>
      <c r="F47" s="50">
        <f>IF(A47="","",Settings!$B$4)</f>
        <v/>
      </c>
      <c r="G47" s="48">
        <f>IF(E47="","",ROUND(E47*F47,2))</f>
        <v/>
      </c>
      <c r="H47" s="48">
        <f>IF(E47="","",E47+G47)</f>
        <v/>
      </c>
      <c r="I47" s="14" t="n"/>
      <c r="J47" s="51">
        <f>IF(A47="","",DATE(YEAR(A47),MONTH(A47),1))</f>
        <v/>
      </c>
      <c r="K47" s="14" t="n"/>
    </row>
    <row r="48">
      <c r="A48" s="49" t="n"/>
      <c r="B48" s="14" t="n"/>
      <c r="C48" s="14" t="n"/>
      <c r="D48" s="14" t="n"/>
      <c r="E48" s="48" t="n"/>
      <c r="F48" s="50">
        <f>IF(A48="","",Settings!$B$4)</f>
        <v/>
      </c>
      <c r="G48" s="48">
        <f>IF(E48="","",ROUND(E48*F48,2))</f>
        <v/>
      </c>
      <c r="H48" s="48">
        <f>IF(E48="","",E48+G48)</f>
        <v/>
      </c>
      <c r="I48" s="14" t="n"/>
      <c r="J48" s="51">
        <f>IF(A48="","",DATE(YEAR(A48),MONTH(A48),1))</f>
        <v/>
      </c>
      <c r="K48" s="14" t="n"/>
    </row>
    <row r="49">
      <c r="A49" s="49" t="n"/>
      <c r="B49" s="14" t="n"/>
      <c r="C49" s="14" t="n"/>
      <c r="D49" s="14" t="n"/>
      <c r="E49" s="48" t="n"/>
      <c r="F49" s="50">
        <f>IF(A49="","",Settings!$B$4)</f>
        <v/>
      </c>
      <c r="G49" s="48">
        <f>IF(E49="","",ROUND(E49*F49,2))</f>
        <v/>
      </c>
      <c r="H49" s="48">
        <f>IF(E49="","",E49+G49)</f>
        <v/>
      </c>
      <c r="I49" s="14" t="n"/>
      <c r="J49" s="51">
        <f>IF(A49="","",DATE(YEAR(A49),MONTH(A49),1))</f>
        <v/>
      </c>
      <c r="K49" s="14" t="n"/>
    </row>
    <row r="50">
      <c r="A50" s="49" t="n"/>
      <c r="B50" s="14" t="n"/>
      <c r="C50" s="14" t="n"/>
      <c r="D50" s="14" t="n"/>
      <c r="E50" s="48" t="n"/>
      <c r="F50" s="50">
        <f>IF(A50="","",Settings!$B$4)</f>
        <v/>
      </c>
      <c r="G50" s="48">
        <f>IF(E50="","",ROUND(E50*F50,2))</f>
        <v/>
      </c>
      <c r="H50" s="48">
        <f>IF(E50="","",E50+G50)</f>
        <v/>
      </c>
      <c r="I50" s="14" t="n"/>
      <c r="J50" s="51">
        <f>IF(A50="","",DATE(YEAR(A50),MONTH(A50),1))</f>
        <v/>
      </c>
      <c r="K50" s="14" t="n"/>
    </row>
    <row r="51">
      <c r="A51" s="49" t="n"/>
      <c r="B51" s="14" t="n"/>
      <c r="C51" s="14" t="n"/>
      <c r="D51" s="14" t="n"/>
      <c r="E51" s="48" t="n"/>
      <c r="F51" s="50">
        <f>IF(A51="","",Settings!$B$4)</f>
        <v/>
      </c>
      <c r="G51" s="48">
        <f>IF(E51="","",ROUND(E51*F51,2))</f>
        <v/>
      </c>
      <c r="H51" s="48">
        <f>IF(E51="","",E51+G51)</f>
        <v/>
      </c>
      <c r="I51" s="14" t="n"/>
      <c r="J51" s="51">
        <f>IF(A51="","",DATE(YEAR(A51),MONTH(A51),1))</f>
        <v/>
      </c>
      <c r="K51" s="14" t="n"/>
    </row>
    <row r="52">
      <c r="A52" s="49" t="n"/>
      <c r="B52" s="14" t="n"/>
      <c r="C52" s="14" t="n"/>
      <c r="D52" s="14" t="n"/>
      <c r="E52" s="48" t="n"/>
      <c r="F52" s="50">
        <f>IF(A52="","",Settings!$B$4)</f>
        <v/>
      </c>
      <c r="G52" s="48">
        <f>IF(E52="","",ROUND(E52*F52,2))</f>
        <v/>
      </c>
      <c r="H52" s="48">
        <f>IF(E52="","",E52+G52)</f>
        <v/>
      </c>
      <c r="I52" s="14" t="n"/>
      <c r="J52" s="51">
        <f>IF(A52="","",DATE(YEAR(A52),MONTH(A52),1))</f>
        <v/>
      </c>
      <c r="K52" s="14" t="n"/>
    </row>
    <row r="53">
      <c r="A53" s="49" t="n"/>
      <c r="B53" s="14" t="n"/>
      <c r="C53" s="14" t="n"/>
      <c r="D53" s="14" t="n"/>
      <c r="E53" s="48" t="n"/>
      <c r="F53" s="50">
        <f>IF(A53="","",Settings!$B$4)</f>
        <v/>
      </c>
      <c r="G53" s="48">
        <f>IF(E53="","",ROUND(E53*F53,2))</f>
        <v/>
      </c>
      <c r="H53" s="48">
        <f>IF(E53="","",E53+G53)</f>
        <v/>
      </c>
      <c r="I53" s="14" t="n"/>
      <c r="J53" s="51">
        <f>IF(A53="","",DATE(YEAR(A53),MONTH(A53),1))</f>
        <v/>
      </c>
      <c r="K53" s="14" t="n"/>
    </row>
    <row r="54">
      <c r="A54" s="49" t="n"/>
      <c r="B54" s="14" t="n"/>
      <c r="C54" s="14" t="n"/>
      <c r="D54" s="14" t="n"/>
      <c r="E54" s="48" t="n"/>
      <c r="F54" s="50">
        <f>IF(A54="","",Settings!$B$4)</f>
        <v/>
      </c>
      <c r="G54" s="48">
        <f>IF(E54="","",ROUND(E54*F54,2))</f>
        <v/>
      </c>
      <c r="H54" s="48">
        <f>IF(E54="","",E54+G54)</f>
        <v/>
      </c>
      <c r="I54" s="14" t="n"/>
      <c r="J54" s="51">
        <f>IF(A54="","",DATE(YEAR(A54),MONTH(A54),1))</f>
        <v/>
      </c>
      <c r="K54" s="14" t="n"/>
    </row>
    <row r="55">
      <c r="A55" s="49" t="n"/>
      <c r="B55" s="14" t="n"/>
      <c r="C55" s="14" t="n"/>
      <c r="D55" s="14" t="n"/>
      <c r="E55" s="48" t="n"/>
      <c r="F55" s="50">
        <f>IF(A55="","",Settings!$B$4)</f>
        <v/>
      </c>
      <c r="G55" s="48">
        <f>IF(E55="","",ROUND(E55*F55,2))</f>
        <v/>
      </c>
      <c r="H55" s="48">
        <f>IF(E55="","",E55+G55)</f>
        <v/>
      </c>
      <c r="I55" s="14" t="n"/>
      <c r="J55" s="51">
        <f>IF(A55="","",DATE(YEAR(A55),MONTH(A55),1))</f>
        <v/>
      </c>
      <c r="K55" s="14" t="n"/>
    </row>
    <row r="56">
      <c r="A56" s="49" t="n"/>
      <c r="B56" s="14" t="n"/>
      <c r="C56" s="14" t="n"/>
      <c r="D56" s="14" t="n"/>
      <c r="E56" s="48" t="n"/>
      <c r="F56" s="50">
        <f>IF(A56="","",Settings!$B$4)</f>
        <v/>
      </c>
      <c r="G56" s="48">
        <f>IF(E56="","",ROUND(E56*F56,2))</f>
        <v/>
      </c>
      <c r="H56" s="48">
        <f>IF(E56="","",E56+G56)</f>
        <v/>
      </c>
      <c r="I56" s="14" t="n"/>
      <c r="J56" s="51">
        <f>IF(A56="","",DATE(YEAR(A56),MONTH(A56),1))</f>
        <v/>
      </c>
      <c r="K56" s="14" t="n"/>
    </row>
    <row r="57">
      <c r="A57" s="49" t="n"/>
      <c r="B57" s="14" t="n"/>
      <c r="C57" s="14" t="n"/>
      <c r="D57" s="14" t="n"/>
      <c r="E57" s="48" t="n"/>
      <c r="F57" s="50">
        <f>IF(A57="","",Settings!$B$4)</f>
        <v/>
      </c>
      <c r="G57" s="48">
        <f>IF(E57="","",ROUND(E57*F57,2))</f>
        <v/>
      </c>
      <c r="H57" s="48">
        <f>IF(E57="","",E57+G57)</f>
        <v/>
      </c>
      <c r="I57" s="14" t="n"/>
      <c r="J57" s="51">
        <f>IF(A57="","",DATE(YEAR(A57),MONTH(A57),1))</f>
        <v/>
      </c>
      <c r="K57" s="14" t="n"/>
    </row>
    <row r="58">
      <c r="A58" s="49" t="n"/>
      <c r="B58" s="14" t="n"/>
      <c r="C58" s="14" t="n"/>
      <c r="D58" s="14" t="n"/>
      <c r="E58" s="48" t="n"/>
      <c r="F58" s="50">
        <f>IF(A58="","",Settings!$B$4)</f>
        <v/>
      </c>
      <c r="G58" s="48">
        <f>IF(E58="","",ROUND(E58*F58,2))</f>
        <v/>
      </c>
      <c r="H58" s="48">
        <f>IF(E58="","",E58+G58)</f>
        <v/>
      </c>
      <c r="I58" s="14" t="n"/>
      <c r="J58" s="51">
        <f>IF(A58="","",DATE(YEAR(A58),MONTH(A58),1))</f>
        <v/>
      </c>
      <c r="K58" s="14" t="n"/>
    </row>
    <row r="59">
      <c r="A59" s="49" t="n"/>
      <c r="B59" s="14" t="n"/>
      <c r="C59" s="14" t="n"/>
      <c r="D59" s="14" t="n"/>
      <c r="E59" s="48" t="n"/>
      <c r="F59" s="50">
        <f>IF(A59="","",Settings!$B$4)</f>
        <v/>
      </c>
      <c r="G59" s="48">
        <f>IF(E59="","",ROUND(E59*F59,2))</f>
        <v/>
      </c>
      <c r="H59" s="48">
        <f>IF(E59="","",E59+G59)</f>
        <v/>
      </c>
      <c r="I59" s="14" t="n"/>
      <c r="J59" s="51">
        <f>IF(A59="","",DATE(YEAR(A59),MONTH(A59),1))</f>
        <v/>
      </c>
      <c r="K59" s="14" t="n"/>
    </row>
    <row r="60">
      <c r="A60" s="49" t="n"/>
      <c r="B60" s="14" t="n"/>
      <c r="C60" s="14" t="n"/>
      <c r="D60" s="14" t="n"/>
      <c r="E60" s="48" t="n"/>
      <c r="F60" s="50">
        <f>IF(A60="","",Settings!$B$4)</f>
        <v/>
      </c>
      <c r="G60" s="48">
        <f>IF(E60="","",ROUND(E60*F60,2))</f>
        <v/>
      </c>
      <c r="H60" s="48">
        <f>IF(E60="","",E60+G60)</f>
        <v/>
      </c>
      <c r="I60" s="14" t="n"/>
      <c r="J60" s="51">
        <f>IF(A60="","",DATE(YEAR(A60),MONTH(A60),1))</f>
        <v/>
      </c>
      <c r="K60" s="14" t="n"/>
    </row>
    <row r="61">
      <c r="A61" s="49" t="n"/>
      <c r="B61" s="14" t="n"/>
      <c r="C61" s="14" t="n"/>
      <c r="D61" s="14" t="n"/>
      <c r="E61" s="48" t="n"/>
      <c r="F61" s="50">
        <f>IF(A61="","",Settings!$B$4)</f>
        <v/>
      </c>
      <c r="G61" s="48">
        <f>IF(E61="","",ROUND(E61*F61,2))</f>
        <v/>
      </c>
      <c r="H61" s="48">
        <f>IF(E61="","",E61+G61)</f>
        <v/>
      </c>
      <c r="I61" s="14" t="n"/>
      <c r="J61" s="51">
        <f>IF(A61="","",DATE(YEAR(A61),MONTH(A61),1))</f>
        <v/>
      </c>
      <c r="K61" s="14" t="n"/>
    </row>
    <row r="62">
      <c r="A62" s="49" t="n"/>
      <c r="B62" s="14" t="n"/>
      <c r="C62" s="14" t="n"/>
      <c r="D62" s="14" t="n"/>
      <c r="E62" s="48" t="n"/>
      <c r="F62" s="50">
        <f>IF(A62="","",Settings!$B$4)</f>
        <v/>
      </c>
      <c r="G62" s="48">
        <f>IF(E62="","",ROUND(E62*F62,2))</f>
        <v/>
      </c>
      <c r="H62" s="48">
        <f>IF(E62="","",E62+G62)</f>
        <v/>
      </c>
      <c r="I62" s="14" t="n"/>
      <c r="J62" s="51">
        <f>IF(A62="","",DATE(YEAR(A62),MONTH(A62),1))</f>
        <v/>
      </c>
      <c r="K62" s="14" t="n"/>
    </row>
    <row r="63">
      <c r="A63" s="49" t="n"/>
      <c r="B63" s="14" t="n"/>
      <c r="C63" s="14" t="n"/>
      <c r="D63" s="14" t="n"/>
      <c r="E63" s="48" t="n"/>
      <c r="F63" s="50">
        <f>IF(A63="","",Settings!$B$4)</f>
        <v/>
      </c>
      <c r="G63" s="48">
        <f>IF(E63="","",ROUND(E63*F63,2))</f>
        <v/>
      </c>
      <c r="H63" s="48">
        <f>IF(E63="","",E63+G63)</f>
        <v/>
      </c>
      <c r="I63" s="14" t="n"/>
      <c r="J63" s="51">
        <f>IF(A63="","",DATE(YEAR(A63),MONTH(A63),1))</f>
        <v/>
      </c>
      <c r="K63" s="14" t="n"/>
    </row>
    <row r="64">
      <c r="A64" s="49" t="n"/>
      <c r="B64" s="14" t="n"/>
      <c r="C64" s="14" t="n"/>
      <c r="D64" s="14" t="n"/>
      <c r="E64" s="48" t="n"/>
      <c r="F64" s="50">
        <f>IF(A64="","",Settings!$B$4)</f>
        <v/>
      </c>
      <c r="G64" s="48">
        <f>IF(E64="","",ROUND(E64*F64,2))</f>
        <v/>
      </c>
      <c r="H64" s="48">
        <f>IF(E64="","",E64+G64)</f>
        <v/>
      </c>
      <c r="I64" s="14" t="n"/>
      <c r="J64" s="51">
        <f>IF(A64="","",DATE(YEAR(A64),MONTH(A64),1))</f>
        <v/>
      </c>
      <c r="K64" s="14" t="n"/>
    </row>
    <row r="65">
      <c r="A65" s="49" t="n"/>
      <c r="B65" s="14" t="n"/>
      <c r="C65" s="14" t="n"/>
      <c r="D65" s="14" t="n"/>
      <c r="E65" s="48" t="n"/>
      <c r="F65" s="50">
        <f>IF(A65="","",Settings!$B$4)</f>
        <v/>
      </c>
      <c r="G65" s="48">
        <f>IF(E65="","",ROUND(E65*F65,2))</f>
        <v/>
      </c>
      <c r="H65" s="48">
        <f>IF(E65="","",E65+G65)</f>
        <v/>
      </c>
      <c r="I65" s="14" t="n"/>
      <c r="J65" s="51">
        <f>IF(A65="","",DATE(YEAR(A65),MONTH(A65),1))</f>
        <v/>
      </c>
      <c r="K65" s="14" t="n"/>
    </row>
    <row r="66">
      <c r="A66" s="49" t="n"/>
      <c r="B66" s="14" t="n"/>
      <c r="C66" s="14" t="n"/>
      <c r="D66" s="14" t="n"/>
      <c r="E66" s="48" t="n"/>
      <c r="F66" s="50">
        <f>IF(A66="","",Settings!$B$4)</f>
        <v/>
      </c>
      <c r="G66" s="48">
        <f>IF(E66="","",ROUND(E66*F66,2))</f>
        <v/>
      </c>
      <c r="H66" s="48">
        <f>IF(E66="","",E66+G66)</f>
        <v/>
      </c>
      <c r="I66" s="14" t="n"/>
      <c r="J66" s="51">
        <f>IF(A66="","",DATE(YEAR(A66),MONTH(A66),1))</f>
        <v/>
      </c>
      <c r="K66" s="14" t="n"/>
    </row>
    <row r="67">
      <c r="A67" s="49" t="n"/>
      <c r="B67" s="14" t="n"/>
      <c r="C67" s="14" t="n"/>
      <c r="D67" s="14" t="n"/>
      <c r="E67" s="48" t="n"/>
      <c r="F67" s="50">
        <f>IF(A67="","",Settings!$B$4)</f>
        <v/>
      </c>
      <c r="G67" s="48">
        <f>IF(E67="","",ROUND(E67*F67,2))</f>
        <v/>
      </c>
      <c r="H67" s="48">
        <f>IF(E67="","",E67+G67)</f>
        <v/>
      </c>
      <c r="I67" s="14" t="n"/>
      <c r="J67" s="51">
        <f>IF(A67="","",DATE(YEAR(A67),MONTH(A67),1))</f>
        <v/>
      </c>
      <c r="K67" s="14" t="n"/>
    </row>
    <row r="68">
      <c r="A68" s="49" t="n"/>
      <c r="B68" s="14" t="n"/>
      <c r="C68" s="14" t="n"/>
      <c r="D68" s="14" t="n"/>
      <c r="E68" s="48" t="n"/>
      <c r="F68" s="50">
        <f>IF(A68="","",Settings!$B$4)</f>
        <v/>
      </c>
      <c r="G68" s="48">
        <f>IF(E68="","",ROUND(E68*F68,2))</f>
        <v/>
      </c>
      <c r="H68" s="48">
        <f>IF(E68="","",E68+G68)</f>
        <v/>
      </c>
      <c r="I68" s="14" t="n"/>
      <c r="J68" s="51">
        <f>IF(A68="","",DATE(YEAR(A68),MONTH(A68),1))</f>
        <v/>
      </c>
      <c r="K68" s="14" t="n"/>
    </row>
    <row r="69">
      <c r="A69" s="49" t="n"/>
      <c r="B69" s="14" t="n"/>
      <c r="C69" s="14" t="n"/>
      <c r="D69" s="14" t="n"/>
      <c r="E69" s="48" t="n"/>
      <c r="F69" s="50">
        <f>IF(A69="","",Settings!$B$4)</f>
        <v/>
      </c>
      <c r="G69" s="48">
        <f>IF(E69="","",ROUND(E69*F69,2))</f>
        <v/>
      </c>
      <c r="H69" s="48">
        <f>IF(E69="","",E69+G69)</f>
        <v/>
      </c>
      <c r="I69" s="14" t="n"/>
      <c r="J69" s="51">
        <f>IF(A69="","",DATE(YEAR(A69),MONTH(A69),1))</f>
        <v/>
      </c>
      <c r="K69" s="14" t="n"/>
    </row>
    <row r="70">
      <c r="A70" s="49" t="n"/>
      <c r="B70" s="14" t="n"/>
      <c r="C70" s="14" t="n"/>
      <c r="D70" s="14" t="n"/>
      <c r="E70" s="48" t="n"/>
      <c r="F70" s="50">
        <f>IF(A70="","",Settings!$B$4)</f>
        <v/>
      </c>
      <c r="G70" s="48">
        <f>IF(E70="","",ROUND(E70*F70,2))</f>
        <v/>
      </c>
      <c r="H70" s="48">
        <f>IF(E70="","",E70+G70)</f>
        <v/>
      </c>
      <c r="I70" s="14" t="n"/>
      <c r="J70" s="51">
        <f>IF(A70="","",DATE(YEAR(A70),MONTH(A70),1))</f>
        <v/>
      </c>
      <c r="K70" s="14" t="n"/>
    </row>
    <row r="71">
      <c r="A71" s="49" t="n"/>
      <c r="B71" s="14" t="n"/>
      <c r="C71" s="14" t="n"/>
      <c r="D71" s="14" t="n"/>
      <c r="E71" s="48" t="n"/>
      <c r="F71" s="50">
        <f>IF(A71="","",Settings!$B$4)</f>
        <v/>
      </c>
      <c r="G71" s="48">
        <f>IF(E71="","",ROUND(E71*F71,2))</f>
        <v/>
      </c>
      <c r="H71" s="48">
        <f>IF(E71="","",E71+G71)</f>
        <v/>
      </c>
      <c r="I71" s="14" t="n"/>
      <c r="J71" s="51">
        <f>IF(A71="","",DATE(YEAR(A71),MONTH(A71),1))</f>
        <v/>
      </c>
      <c r="K71" s="14" t="n"/>
    </row>
    <row r="72">
      <c r="A72" s="49" t="n"/>
      <c r="B72" s="14" t="n"/>
      <c r="C72" s="14" t="n"/>
      <c r="D72" s="14" t="n"/>
      <c r="E72" s="48" t="n"/>
      <c r="F72" s="50">
        <f>IF(A72="","",Settings!$B$4)</f>
        <v/>
      </c>
      <c r="G72" s="48">
        <f>IF(E72="","",ROUND(E72*F72,2))</f>
        <v/>
      </c>
      <c r="H72" s="48">
        <f>IF(E72="","",E72+G72)</f>
        <v/>
      </c>
      <c r="I72" s="14" t="n"/>
      <c r="J72" s="51">
        <f>IF(A72="","",DATE(YEAR(A72),MONTH(A72),1))</f>
        <v/>
      </c>
      <c r="K72" s="14" t="n"/>
    </row>
    <row r="73">
      <c r="A73" s="49" t="n"/>
      <c r="B73" s="14" t="n"/>
      <c r="C73" s="14" t="n"/>
      <c r="D73" s="14" t="n"/>
      <c r="E73" s="48" t="n"/>
      <c r="F73" s="50">
        <f>IF(A73="","",Settings!$B$4)</f>
        <v/>
      </c>
      <c r="G73" s="48">
        <f>IF(E73="","",ROUND(E73*F73,2))</f>
        <v/>
      </c>
      <c r="H73" s="48">
        <f>IF(E73="","",E73+G73)</f>
        <v/>
      </c>
      <c r="I73" s="14" t="n"/>
      <c r="J73" s="51">
        <f>IF(A73="","",DATE(YEAR(A73),MONTH(A73),1))</f>
        <v/>
      </c>
      <c r="K73" s="14" t="n"/>
    </row>
    <row r="74">
      <c r="A74" s="49" t="n"/>
      <c r="B74" s="14" t="n"/>
      <c r="C74" s="14" t="n"/>
      <c r="D74" s="14" t="n"/>
      <c r="E74" s="48" t="n"/>
      <c r="F74" s="50">
        <f>IF(A74="","",Settings!$B$4)</f>
        <v/>
      </c>
      <c r="G74" s="48">
        <f>IF(E74="","",ROUND(E74*F74,2))</f>
        <v/>
      </c>
      <c r="H74" s="48">
        <f>IF(E74="","",E74+G74)</f>
        <v/>
      </c>
      <c r="I74" s="14" t="n"/>
      <c r="J74" s="51">
        <f>IF(A74="","",DATE(YEAR(A74),MONTH(A74),1))</f>
        <v/>
      </c>
      <c r="K74" s="14" t="n"/>
    </row>
    <row r="75">
      <c r="A75" s="49" t="n"/>
      <c r="B75" s="14" t="n"/>
      <c r="C75" s="14" t="n"/>
      <c r="D75" s="14" t="n"/>
      <c r="E75" s="48" t="n"/>
      <c r="F75" s="50">
        <f>IF(A75="","",Settings!$B$4)</f>
        <v/>
      </c>
      <c r="G75" s="48">
        <f>IF(E75="","",ROUND(E75*F75,2))</f>
        <v/>
      </c>
      <c r="H75" s="48">
        <f>IF(E75="","",E75+G75)</f>
        <v/>
      </c>
      <c r="I75" s="14" t="n"/>
      <c r="J75" s="51">
        <f>IF(A75="","",DATE(YEAR(A75),MONTH(A75),1))</f>
        <v/>
      </c>
      <c r="K75" s="14" t="n"/>
    </row>
    <row r="76">
      <c r="A76" s="49" t="n"/>
      <c r="B76" s="14" t="n"/>
      <c r="C76" s="14" t="n"/>
      <c r="D76" s="14" t="n"/>
      <c r="E76" s="48" t="n"/>
      <c r="F76" s="50">
        <f>IF(A76="","",Settings!$B$4)</f>
        <v/>
      </c>
      <c r="G76" s="48">
        <f>IF(E76="","",ROUND(E76*F76,2))</f>
        <v/>
      </c>
      <c r="H76" s="48">
        <f>IF(E76="","",E76+G76)</f>
        <v/>
      </c>
      <c r="I76" s="14" t="n"/>
      <c r="J76" s="51">
        <f>IF(A76="","",DATE(YEAR(A76),MONTH(A76),1))</f>
        <v/>
      </c>
      <c r="K76" s="14" t="n"/>
    </row>
    <row r="77">
      <c r="A77" s="49" t="n"/>
      <c r="B77" s="14" t="n"/>
      <c r="C77" s="14" t="n"/>
      <c r="D77" s="14" t="n"/>
      <c r="E77" s="48" t="n"/>
      <c r="F77" s="50">
        <f>IF(A77="","",Settings!$B$4)</f>
        <v/>
      </c>
      <c r="G77" s="48">
        <f>IF(E77="","",ROUND(E77*F77,2))</f>
        <v/>
      </c>
      <c r="H77" s="48">
        <f>IF(E77="","",E77+G77)</f>
        <v/>
      </c>
      <c r="I77" s="14" t="n"/>
      <c r="J77" s="51">
        <f>IF(A77="","",DATE(YEAR(A77),MONTH(A77),1))</f>
        <v/>
      </c>
      <c r="K77" s="14" t="n"/>
    </row>
    <row r="78">
      <c r="A78" s="49" t="n"/>
      <c r="B78" s="14" t="n"/>
      <c r="C78" s="14" t="n"/>
      <c r="D78" s="14" t="n"/>
      <c r="E78" s="48" t="n"/>
      <c r="F78" s="50">
        <f>IF(A78="","",Settings!$B$4)</f>
        <v/>
      </c>
      <c r="G78" s="48">
        <f>IF(E78="","",ROUND(E78*F78,2))</f>
        <v/>
      </c>
      <c r="H78" s="48">
        <f>IF(E78="","",E78+G78)</f>
        <v/>
      </c>
      <c r="I78" s="14" t="n"/>
      <c r="J78" s="51">
        <f>IF(A78="","",DATE(YEAR(A78),MONTH(A78),1))</f>
        <v/>
      </c>
      <c r="K78" s="14" t="n"/>
    </row>
    <row r="79">
      <c r="A79" s="49" t="n"/>
      <c r="B79" s="14" t="n"/>
      <c r="C79" s="14" t="n"/>
      <c r="D79" s="14" t="n"/>
      <c r="E79" s="48" t="n"/>
      <c r="F79" s="50">
        <f>IF(A79="","",Settings!$B$4)</f>
        <v/>
      </c>
      <c r="G79" s="48">
        <f>IF(E79="","",ROUND(E79*F79,2))</f>
        <v/>
      </c>
      <c r="H79" s="48">
        <f>IF(E79="","",E79+G79)</f>
        <v/>
      </c>
      <c r="I79" s="14" t="n"/>
      <c r="J79" s="51">
        <f>IF(A79="","",DATE(YEAR(A79),MONTH(A79),1))</f>
        <v/>
      </c>
      <c r="K79" s="14" t="n"/>
    </row>
    <row r="80">
      <c r="A80" s="49" t="n"/>
      <c r="B80" s="14" t="n"/>
      <c r="C80" s="14" t="n"/>
      <c r="D80" s="14" t="n"/>
      <c r="E80" s="48" t="n"/>
      <c r="F80" s="50">
        <f>IF(A80="","",Settings!$B$4)</f>
        <v/>
      </c>
      <c r="G80" s="48">
        <f>IF(E80="","",ROUND(E80*F80,2))</f>
        <v/>
      </c>
      <c r="H80" s="48">
        <f>IF(E80="","",E80+G80)</f>
        <v/>
      </c>
      <c r="I80" s="14" t="n"/>
      <c r="J80" s="51">
        <f>IF(A80="","",DATE(YEAR(A80),MONTH(A80),1))</f>
        <v/>
      </c>
      <c r="K80" s="14" t="n"/>
    </row>
    <row r="81">
      <c r="A81" s="49" t="n"/>
      <c r="B81" s="14" t="n"/>
      <c r="C81" s="14" t="n"/>
      <c r="D81" s="14" t="n"/>
      <c r="E81" s="48" t="n"/>
      <c r="F81" s="50">
        <f>IF(A81="","",Settings!$B$4)</f>
        <v/>
      </c>
      <c r="G81" s="48">
        <f>IF(E81="","",ROUND(E81*F81,2))</f>
        <v/>
      </c>
      <c r="H81" s="48">
        <f>IF(E81="","",E81+G81)</f>
        <v/>
      </c>
      <c r="I81" s="14" t="n"/>
      <c r="J81" s="51">
        <f>IF(A81="","",DATE(YEAR(A81),MONTH(A81),1))</f>
        <v/>
      </c>
      <c r="K81" s="14" t="n"/>
    </row>
    <row r="82">
      <c r="A82" s="49" t="n"/>
      <c r="B82" s="14" t="n"/>
      <c r="C82" s="14" t="n"/>
      <c r="D82" s="14" t="n"/>
      <c r="E82" s="48" t="n"/>
      <c r="F82" s="50">
        <f>IF(A82="","",Settings!$B$4)</f>
        <v/>
      </c>
      <c r="G82" s="48">
        <f>IF(E82="","",ROUND(E82*F82,2))</f>
        <v/>
      </c>
      <c r="H82" s="48">
        <f>IF(E82="","",E82+G82)</f>
        <v/>
      </c>
      <c r="I82" s="14" t="n"/>
      <c r="J82" s="51">
        <f>IF(A82="","",DATE(YEAR(A82),MONTH(A82),1))</f>
        <v/>
      </c>
      <c r="K82" s="14" t="n"/>
    </row>
    <row r="83">
      <c r="A83" s="49" t="n"/>
      <c r="B83" s="14" t="n"/>
      <c r="C83" s="14" t="n"/>
      <c r="D83" s="14" t="n"/>
      <c r="E83" s="48" t="n"/>
      <c r="F83" s="50">
        <f>IF(A83="","",Settings!$B$4)</f>
        <v/>
      </c>
      <c r="G83" s="48">
        <f>IF(E83="","",ROUND(E83*F83,2))</f>
        <v/>
      </c>
      <c r="H83" s="48">
        <f>IF(E83="","",E83+G83)</f>
        <v/>
      </c>
      <c r="I83" s="14" t="n"/>
      <c r="J83" s="51">
        <f>IF(A83="","",DATE(YEAR(A83),MONTH(A83),1))</f>
        <v/>
      </c>
      <c r="K83" s="14" t="n"/>
    </row>
    <row r="84">
      <c r="A84" s="49" t="n"/>
      <c r="B84" s="14" t="n"/>
      <c r="C84" s="14" t="n"/>
      <c r="D84" s="14" t="n"/>
      <c r="E84" s="48" t="n"/>
      <c r="F84" s="50">
        <f>IF(A84="","",Settings!$B$4)</f>
        <v/>
      </c>
      <c r="G84" s="48">
        <f>IF(E84="","",ROUND(E84*F84,2))</f>
        <v/>
      </c>
      <c r="H84" s="48">
        <f>IF(E84="","",E84+G84)</f>
        <v/>
      </c>
      <c r="I84" s="14" t="n"/>
      <c r="J84" s="51">
        <f>IF(A84="","",DATE(YEAR(A84),MONTH(A84),1))</f>
        <v/>
      </c>
      <c r="K84" s="14" t="n"/>
    </row>
    <row r="85">
      <c r="A85" s="49" t="n"/>
      <c r="B85" s="14" t="n"/>
      <c r="C85" s="14" t="n"/>
      <c r="D85" s="14" t="n"/>
      <c r="E85" s="48" t="n"/>
      <c r="F85" s="50">
        <f>IF(A85="","",Settings!$B$4)</f>
        <v/>
      </c>
      <c r="G85" s="48">
        <f>IF(E85="","",ROUND(E85*F85,2))</f>
        <v/>
      </c>
      <c r="H85" s="48">
        <f>IF(E85="","",E85+G85)</f>
        <v/>
      </c>
      <c r="I85" s="14" t="n"/>
      <c r="J85" s="51">
        <f>IF(A85="","",DATE(YEAR(A85),MONTH(A85),1))</f>
        <v/>
      </c>
      <c r="K85" s="14" t="n"/>
    </row>
    <row r="86">
      <c r="A86" s="49" t="n"/>
      <c r="B86" s="14" t="n"/>
      <c r="C86" s="14" t="n"/>
      <c r="D86" s="14" t="n"/>
      <c r="E86" s="48" t="n"/>
      <c r="F86" s="50">
        <f>IF(A86="","",Settings!$B$4)</f>
        <v/>
      </c>
      <c r="G86" s="48">
        <f>IF(E86="","",ROUND(E86*F86,2))</f>
        <v/>
      </c>
      <c r="H86" s="48">
        <f>IF(E86="","",E86+G86)</f>
        <v/>
      </c>
      <c r="I86" s="14" t="n"/>
      <c r="J86" s="51">
        <f>IF(A86="","",DATE(YEAR(A86),MONTH(A86),1))</f>
        <v/>
      </c>
      <c r="K86" s="14" t="n"/>
    </row>
    <row r="87">
      <c r="A87" s="49" t="n"/>
      <c r="B87" s="14" t="n"/>
      <c r="C87" s="14" t="n"/>
      <c r="D87" s="14" t="n"/>
      <c r="E87" s="48" t="n"/>
      <c r="F87" s="50">
        <f>IF(A87="","",Settings!$B$4)</f>
        <v/>
      </c>
      <c r="G87" s="48">
        <f>IF(E87="","",ROUND(E87*F87,2))</f>
        <v/>
      </c>
      <c r="H87" s="48">
        <f>IF(E87="","",E87+G87)</f>
        <v/>
      </c>
      <c r="I87" s="14" t="n"/>
      <c r="J87" s="51">
        <f>IF(A87="","",DATE(YEAR(A87),MONTH(A87),1))</f>
        <v/>
      </c>
      <c r="K87" s="14" t="n"/>
    </row>
    <row r="88">
      <c r="A88" s="49" t="n"/>
      <c r="B88" s="14" t="n"/>
      <c r="C88" s="14" t="n"/>
      <c r="D88" s="14" t="n"/>
      <c r="E88" s="48" t="n"/>
      <c r="F88" s="50">
        <f>IF(A88="","",Settings!$B$4)</f>
        <v/>
      </c>
      <c r="G88" s="48">
        <f>IF(E88="","",ROUND(E88*F88,2))</f>
        <v/>
      </c>
      <c r="H88" s="48">
        <f>IF(E88="","",E88+G88)</f>
        <v/>
      </c>
      <c r="I88" s="14" t="n"/>
      <c r="J88" s="51">
        <f>IF(A88="","",DATE(YEAR(A88),MONTH(A88),1))</f>
        <v/>
      </c>
      <c r="K88" s="14" t="n"/>
    </row>
    <row r="89">
      <c r="A89" s="49" t="n"/>
      <c r="B89" s="14" t="n"/>
      <c r="C89" s="14" t="n"/>
      <c r="D89" s="14" t="n"/>
      <c r="E89" s="48" t="n"/>
      <c r="F89" s="50">
        <f>IF(A89="","",Settings!$B$4)</f>
        <v/>
      </c>
      <c r="G89" s="48">
        <f>IF(E89="","",ROUND(E89*F89,2))</f>
        <v/>
      </c>
      <c r="H89" s="48">
        <f>IF(E89="","",E89+G89)</f>
        <v/>
      </c>
      <c r="I89" s="14" t="n"/>
      <c r="J89" s="51">
        <f>IF(A89="","",DATE(YEAR(A89),MONTH(A89),1))</f>
        <v/>
      </c>
      <c r="K89" s="14" t="n"/>
    </row>
    <row r="90">
      <c r="A90" s="49" t="n"/>
      <c r="B90" s="14" t="n"/>
      <c r="C90" s="14" t="n"/>
      <c r="D90" s="14" t="n"/>
      <c r="E90" s="48" t="n"/>
      <c r="F90" s="50">
        <f>IF(A90="","",Settings!$B$4)</f>
        <v/>
      </c>
      <c r="G90" s="48">
        <f>IF(E90="","",ROUND(E90*F90,2))</f>
        <v/>
      </c>
      <c r="H90" s="48">
        <f>IF(E90="","",E90+G90)</f>
        <v/>
      </c>
      <c r="I90" s="14" t="n"/>
      <c r="J90" s="51">
        <f>IF(A90="","",DATE(YEAR(A90),MONTH(A90),1))</f>
        <v/>
      </c>
      <c r="K90" s="14" t="n"/>
    </row>
    <row r="91">
      <c r="A91" s="49" t="n"/>
      <c r="B91" s="14" t="n"/>
      <c r="C91" s="14" t="n"/>
      <c r="D91" s="14" t="n"/>
      <c r="E91" s="48" t="n"/>
      <c r="F91" s="50">
        <f>IF(A91="","",Settings!$B$4)</f>
        <v/>
      </c>
      <c r="G91" s="48">
        <f>IF(E91="","",ROUND(E91*F91,2))</f>
        <v/>
      </c>
      <c r="H91" s="48">
        <f>IF(E91="","",E91+G91)</f>
        <v/>
      </c>
      <c r="I91" s="14" t="n"/>
      <c r="J91" s="51">
        <f>IF(A91="","",DATE(YEAR(A91),MONTH(A91),1))</f>
        <v/>
      </c>
      <c r="K91" s="14" t="n"/>
    </row>
    <row r="92">
      <c r="A92" s="49" t="n"/>
      <c r="B92" s="14" t="n"/>
      <c r="C92" s="14" t="n"/>
      <c r="D92" s="14" t="n"/>
      <c r="E92" s="48" t="n"/>
      <c r="F92" s="50">
        <f>IF(A92="","",Settings!$B$4)</f>
        <v/>
      </c>
      <c r="G92" s="48">
        <f>IF(E92="","",ROUND(E92*F92,2))</f>
        <v/>
      </c>
      <c r="H92" s="48">
        <f>IF(E92="","",E92+G92)</f>
        <v/>
      </c>
      <c r="I92" s="14" t="n"/>
      <c r="J92" s="51">
        <f>IF(A92="","",DATE(YEAR(A92),MONTH(A92),1))</f>
        <v/>
      </c>
      <c r="K92" s="14" t="n"/>
    </row>
    <row r="93">
      <c r="A93" s="49" t="n"/>
      <c r="B93" s="14" t="n"/>
      <c r="C93" s="14" t="n"/>
      <c r="D93" s="14" t="n"/>
      <c r="E93" s="48" t="n"/>
      <c r="F93" s="50">
        <f>IF(A93="","",Settings!$B$4)</f>
        <v/>
      </c>
      <c r="G93" s="48">
        <f>IF(E93="","",ROUND(E93*F93,2))</f>
        <v/>
      </c>
      <c r="H93" s="48">
        <f>IF(E93="","",E93+G93)</f>
        <v/>
      </c>
      <c r="I93" s="14" t="n"/>
      <c r="J93" s="51">
        <f>IF(A93="","",DATE(YEAR(A93),MONTH(A93),1))</f>
        <v/>
      </c>
      <c r="K93" s="14" t="n"/>
    </row>
    <row r="94">
      <c r="A94" s="49" t="n"/>
      <c r="B94" s="14" t="n"/>
      <c r="C94" s="14" t="n"/>
      <c r="D94" s="14" t="n"/>
      <c r="E94" s="48" t="n"/>
      <c r="F94" s="50">
        <f>IF(A94="","",Settings!$B$4)</f>
        <v/>
      </c>
      <c r="G94" s="48">
        <f>IF(E94="","",ROUND(E94*F94,2))</f>
        <v/>
      </c>
      <c r="H94" s="48">
        <f>IF(E94="","",E94+G94)</f>
        <v/>
      </c>
      <c r="I94" s="14" t="n"/>
      <c r="J94" s="51">
        <f>IF(A94="","",DATE(YEAR(A94),MONTH(A94),1))</f>
        <v/>
      </c>
      <c r="K94" s="14" t="n"/>
    </row>
    <row r="95">
      <c r="A95" s="49" t="n"/>
      <c r="B95" s="14" t="n"/>
      <c r="C95" s="14" t="n"/>
      <c r="D95" s="14" t="n"/>
      <c r="E95" s="48" t="n"/>
      <c r="F95" s="50">
        <f>IF(A95="","",Settings!$B$4)</f>
        <v/>
      </c>
      <c r="G95" s="48">
        <f>IF(E95="","",ROUND(E95*F95,2))</f>
        <v/>
      </c>
      <c r="H95" s="48">
        <f>IF(E95="","",E95+G95)</f>
        <v/>
      </c>
      <c r="I95" s="14" t="n"/>
      <c r="J95" s="51">
        <f>IF(A95="","",DATE(YEAR(A95),MONTH(A95),1))</f>
        <v/>
      </c>
      <c r="K95" s="14" t="n"/>
    </row>
    <row r="96">
      <c r="A96" s="49" t="n"/>
      <c r="B96" s="14" t="n"/>
      <c r="C96" s="14" t="n"/>
      <c r="D96" s="14" t="n"/>
      <c r="E96" s="48" t="n"/>
      <c r="F96" s="50">
        <f>IF(A96="","",Settings!$B$4)</f>
        <v/>
      </c>
      <c r="G96" s="48">
        <f>IF(E96="","",ROUND(E96*F96,2))</f>
        <v/>
      </c>
      <c r="H96" s="48">
        <f>IF(E96="","",E96+G96)</f>
        <v/>
      </c>
      <c r="I96" s="14" t="n"/>
      <c r="J96" s="51">
        <f>IF(A96="","",DATE(YEAR(A96),MONTH(A96),1))</f>
        <v/>
      </c>
      <c r="K96" s="14" t="n"/>
    </row>
    <row r="97">
      <c r="A97" s="49" t="n"/>
      <c r="B97" s="14" t="n"/>
      <c r="C97" s="14" t="n"/>
      <c r="D97" s="14" t="n"/>
      <c r="E97" s="48" t="n"/>
      <c r="F97" s="50">
        <f>IF(A97="","",Settings!$B$4)</f>
        <v/>
      </c>
      <c r="G97" s="48">
        <f>IF(E97="","",ROUND(E97*F97,2))</f>
        <v/>
      </c>
      <c r="H97" s="48">
        <f>IF(E97="","",E97+G97)</f>
        <v/>
      </c>
      <c r="I97" s="14" t="n"/>
      <c r="J97" s="51">
        <f>IF(A97="","",DATE(YEAR(A97),MONTH(A97),1))</f>
        <v/>
      </c>
      <c r="K97" s="14" t="n"/>
    </row>
    <row r="98">
      <c r="A98" s="49" t="n"/>
      <c r="B98" s="14" t="n"/>
      <c r="C98" s="14" t="n"/>
      <c r="D98" s="14" t="n"/>
      <c r="E98" s="48" t="n"/>
      <c r="F98" s="50">
        <f>IF(A98="","",Settings!$B$4)</f>
        <v/>
      </c>
      <c r="G98" s="48">
        <f>IF(E98="","",ROUND(E98*F98,2))</f>
        <v/>
      </c>
      <c r="H98" s="48">
        <f>IF(E98="","",E98+G98)</f>
        <v/>
      </c>
      <c r="I98" s="14" t="n"/>
      <c r="J98" s="51">
        <f>IF(A98="","",DATE(YEAR(A98),MONTH(A98),1))</f>
        <v/>
      </c>
      <c r="K98" s="14" t="n"/>
    </row>
    <row r="99">
      <c r="A99" s="49" t="n"/>
      <c r="B99" s="14" t="n"/>
      <c r="C99" s="14" t="n"/>
      <c r="D99" s="14" t="n"/>
      <c r="E99" s="48" t="n"/>
      <c r="F99" s="50">
        <f>IF(A99="","",Settings!$B$4)</f>
        <v/>
      </c>
      <c r="G99" s="48">
        <f>IF(E99="","",ROUND(E99*F99,2))</f>
        <v/>
      </c>
      <c r="H99" s="48">
        <f>IF(E99="","",E99+G99)</f>
        <v/>
      </c>
      <c r="I99" s="14" t="n"/>
      <c r="J99" s="51">
        <f>IF(A99="","",DATE(YEAR(A99),MONTH(A99),1))</f>
        <v/>
      </c>
      <c r="K99" s="14" t="n"/>
    </row>
    <row r="100">
      <c r="A100" s="49" t="n"/>
      <c r="B100" s="14" t="n"/>
      <c r="C100" s="14" t="n"/>
      <c r="D100" s="14" t="n"/>
      <c r="E100" s="48" t="n"/>
      <c r="F100" s="50">
        <f>IF(A100="","",Settings!$B$4)</f>
        <v/>
      </c>
      <c r="G100" s="48">
        <f>IF(E100="","",ROUND(E100*F100,2))</f>
        <v/>
      </c>
      <c r="H100" s="48">
        <f>IF(E100="","",E100+G100)</f>
        <v/>
      </c>
      <c r="I100" s="14" t="n"/>
      <c r="J100" s="51">
        <f>IF(A100="","",DATE(YEAR(A100),MONTH(A100),1))</f>
        <v/>
      </c>
      <c r="K100" s="14" t="n"/>
    </row>
    <row r="101">
      <c r="A101" s="49" t="n"/>
      <c r="B101" s="14" t="n"/>
      <c r="C101" s="14" t="n"/>
      <c r="D101" s="14" t="n"/>
      <c r="E101" s="48" t="n"/>
      <c r="F101" s="50">
        <f>IF(A101="","",Settings!$B$4)</f>
        <v/>
      </c>
      <c r="G101" s="48">
        <f>IF(E101="","",ROUND(E101*F101,2))</f>
        <v/>
      </c>
      <c r="H101" s="48">
        <f>IF(E101="","",E101+G101)</f>
        <v/>
      </c>
      <c r="I101" s="14" t="n"/>
      <c r="J101" s="51">
        <f>IF(A101="","",DATE(YEAR(A101),MONTH(A101),1))</f>
        <v/>
      </c>
      <c r="K101" s="14" t="n"/>
    </row>
    <row r="102">
      <c r="A102" s="49" t="n"/>
      <c r="B102" s="14" t="n"/>
      <c r="C102" s="14" t="n"/>
      <c r="D102" s="14" t="n"/>
      <c r="E102" s="48" t="n"/>
      <c r="F102" s="50">
        <f>IF(A102="","",Settings!$B$4)</f>
        <v/>
      </c>
      <c r="G102" s="48">
        <f>IF(E102="","",ROUND(E102*F102,2))</f>
        <v/>
      </c>
      <c r="H102" s="48">
        <f>IF(E102="","",E102+G102)</f>
        <v/>
      </c>
      <c r="I102" s="14" t="n"/>
      <c r="J102" s="51">
        <f>IF(A102="","",DATE(YEAR(A102),MONTH(A102),1))</f>
        <v/>
      </c>
      <c r="K102" s="14" t="n"/>
    </row>
    <row r="103">
      <c r="A103" s="49" t="n"/>
      <c r="B103" s="14" t="n"/>
      <c r="C103" s="14" t="n"/>
      <c r="D103" s="14" t="n"/>
      <c r="E103" s="48" t="n"/>
      <c r="F103" s="50">
        <f>IF(A103="","",Settings!$B$4)</f>
        <v/>
      </c>
      <c r="G103" s="48">
        <f>IF(E103="","",ROUND(E103*F103,2))</f>
        <v/>
      </c>
      <c r="H103" s="48">
        <f>IF(E103="","",E103+G103)</f>
        <v/>
      </c>
      <c r="I103" s="14" t="n"/>
      <c r="J103" s="51">
        <f>IF(A103="","",DATE(YEAR(A103),MONTH(A103),1))</f>
        <v/>
      </c>
      <c r="K103" s="14" t="n"/>
    </row>
    <row r="104">
      <c r="A104" s="49" t="n"/>
      <c r="B104" s="14" t="n"/>
      <c r="C104" s="14" t="n"/>
      <c r="D104" s="14" t="n"/>
      <c r="E104" s="48" t="n"/>
      <c r="F104" s="50">
        <f>IF(A104="","",Settings!$B$4)</f>
        <v/>
      </c>
      <c r="G104" s="48">
        <f>IF(E104="","",ROUND(E104*F104,2))</f>
        <v/>
      </c>
      <c r="H104" s="48">
        <f>IF(E104="","",E104+G104)</f>
        <v/>
      </c>
      <c r="I104" s="14" t="n"/>
      <c r="J104" s="51">
        <f>IF(A104="","",DATE(YEAR(A104),MONTH(A104),1))</f>
        <v/>
      </c>
      <c r="K104" s="14" t="n"/>
    </row>
    <row r="105">
      <c r="A105" s="49" t="n"/>
      <c r="B105" s="14" t="n"/>
      <c r="C105" s="14" t="n"/>
      <c r="D105" s="14" t="n"/>
      <c r="E105" s="48" t="n"/>
      <c r="F105" s="50">
        <f>IF(A105="","",Settings!$B$4)</f>
        <v/>
      </c>
      <c r="G105" s="48">
        <f>IF(E105="","",ROUND(E105*F105,2))</f>
        <v/>
      </c>
      <c r="H105" s="48">
        <f>IF(E105="","",E105+G105)</f>
        <v/>
      </c>
      <c r="I105" s="14" t="n"/>
      <c r="J105" s="51">
        <f>IF(A105="","",DATE(YEAR(A105),MONTH(A105),1))</f>
        <v/>
      </c>
      <c r="K105" s="14" t="n"/>
    </row>
    <row r="106">
      <c r="A106" s="49" t="n"/>
      <c r="B106" s="14" t="n"/>
      <c r="C106" s="14" t="n"/>
      <c r="D106" s="14" t="n"/>
      <c r="E106" s="48" t="n"/>
      <c r="F106" s="50">
        <f>IF(A106="","",Settings!$B$4)</f>
        <v/>
      </c>
      <c r="G106" s="48">
        <f>IF(E106="","",ROUND(E106*F106,2))</f>
        <v/>
      </c>
      <c r="H106" s="48">
        <f>IF(E106="","",E106+G106)</f>
        <v/>
      </c>
      <c r="I106" s="14" t="n"/>
      <c r="J106" s="51">
        <f>IF(A106="","",DATE(YEAR(A106),MONTH(A106),1))</f>
        <v/>
      </c>
      <c r="K106" s="14" t="n"/>
    </row>
    <row r="107">
      <c r="A107" s="49" t="n"/>
      <c r="B107" s="14" t="n"/>
      <c r="C107" s="14" t="n"/>
      <c r="D107" s="14" t="n"/>
      <c r="E107" s="48" t="n"/>
      <c r="F107" s="50">
        <f>IF(A107="","",Settings!$B$4)</f>
        <v/>
      </c>
      <c r="G107" s="48">
        <f>IF(E107="","",ROUND(E107*F107,2))</f>
        <v/>
      </c>
      <c r="H107" s="48">
        <f>IF(E107="","",E107+G107)</f>
        <v/>
      </c>
      <c r="I107" s="14" t="n"/>
      <c r="J107" s="51">
        <f>IF(A107="","",DATE(YEAR(A107),MONTH(A107),1))</f>
        <v/>
      </c>
      <c r="K107" s="14" t="n"/>
    </row>
    <row r="108">
      <c r="A108" s="49" t="n"/>
      <c r="B108" s="14" t="n"/>
      <c r="C108" s="14" t="n"/>
      <c r="D108" s="14" t="n"/>
      <c r="E108" s="48" t="n"/>
      <c r="F108" s="50">
        <f>IF(A108="","",Settings!$B$4)</f>
        <v/>
      </c>
      <c r="G108" s="48">
        <f>IF(E108="","",ROUND(E108*F108,2))</f>
        <v/>
      </c>
      <c r="H108" s="48">
        <f>IF(E108="","",E108+G108)</f>
        <v/>
      </c>
      <c r="I108" s="14" t="n"/>
      <c r="J108" s="51">
        <f>IF(A108="","",DATE(YEAR(A108),MONTH(A108),1))</f>
        <v/>
      </c>
      <c r="K108" s="14" t="n"/>
    </row>
    <row r="109">
      <c r="A109" s="49" t="n"/>
      <c r="B109" s="14" t="n"/>
      <c r="C109" s="14" t="n"/>
      <c r="D109" s="14" t="n"/>
      <c r="E109" s="48" t="n"/>
      <c r="F109" s="50">
        <f>IF(A109="","",Settings!$B$4)</f>
        <v/>
      </c>
      <c r="G109" s="48">
        <f>IF(E109="","",ROUND(E109*F109,2))</f>
        <v/>
      </c>
      <c r="H109" s="48">
        <f>IF(E109="","",E109+G109)</f>
        <v/>
      </c>
      <c r="I109" s="14" t="n"/>
      <c r="J109" s="51">
        <f>IF(A109="","",DATE(YEAR(A109),MONTH(A109),1))</f>
        <v/>
      </c>
      <c r="K109" s="14" t="n"/>
    </row>
    <row r="110">
      <c r="A110" s="49" t="n"/>
      <c r="B110" s="14" t="n"/>
      <c r="C110" s="14" t="n"/>
      <c r="D110" s="14" t="n"/>
      <c r="E110" s="48" t="n"/>
      <c r="F110" s="50">
        <f>IF(A110="","",Settings!$B$4)</f>
        <v/>
      </c>
      <c r="G110" s="48">
        <f>IF(E110="","",ROUND(E110*F110,2))</f>
        <v/>
      </c>
      <c r="H110" s="48">
        <f>IF(E110="","",E110+G110)</f>
        <v/>
      </c>
      <c r="I110" s="14" t="n"/>
      <c r="J110" s="51">
        <f>IF(A110="","",DATE(YEAR(A110),MONTH(A110),1))</f>
        <v/>
      </c>
      <c r="K110" s="14" t="n"/>
    </row>
    <row r="111">
      <c r="A111" s="49" t="n"/>
      <c r="B111" s="14" t="n"/>
      <c r="C111" s="14" t="n"/>
      <c r="D111" s="14" t="n"/>
      <c r="E111" s="48" t="n"/>
      <c r="F111" s="50">
        <f>IF(A111="","",Settings!$B$4)</f>
        <v/>
      </c>
      <c r="G111" s="48">
        <f>IF(E111="","",ROUND(E111*F111,2))</f>
        <v/>
      </c>
      <c r="H111" s="48">
        <f>IF(E111="","",E111+G111)</f>
        <v/>
      </c>
      <c r="I111" s="14" t="n"/>
      <c r="J111" s="51">
        <f>IF(A111="","",DATE(YEAR(A111),MONTH(A111),1))</f>
        <v/>
      </c>
      <c r="K111" s="14" t="n"/>
    </row>
    <row r="112">
      <c r="A112" s="49" t="n"/>
      <c r="B112" s="14" t="n"/>
      <c r="C112" s="14" t="n"/>
      <c r="D112" s="14" t="n"/>
      <c r="E112" s="48" t="n"/>
      <c r="F112" s="50">
        <f>IF(A112="","",Settings!$B$4)</f>
        <v/>
      </c>
      <c r="G112" s="48">
        <f>IF(E112="","",ROUND(E112*F112,2))</f>
        <v/>
      </c>
      <c r="H112" s="48">
        <f>IF(E112="","",E112+G112)</f>
        <v/>
      </c>
      <c r="I112" s="14" t="n"/>
      <c r="J112" s="51">
        <f>IF(A112="","",DATE(YEAR(A112),MONTH(A112),1))</f>
        <v/>
      </c>
      <c r="K112" s="14" t="n"/>
    </row>
    <row r="113">
      <c r="A113" s="49" t="n"/>
      <c r="B113" s="14" t="n"/>
      <c r="C113" s="14" t="n"/>
      <c r="D113" s="14" t="n"/>
      <c r="E113" s="48" t="n"/>
      <c r="F113" s="50">
        <f>IF(A113="","",Settings!$B$4)</f>
        <v/>
      </c>
      <c r="G113" s="48">
        <f>IF(E113="","",ROUND(E113*F113,2))</f>
        <v/>
      </c>
      <c r="H113" s="48">
        <f>IF(E113="","",E113+G113)</f>
        <v/>
      </c>
      <c r="I113" s="14" t="n"/>
      <c r="J113" s="51">
        <f>IF(A113="","",DATE(YEAR(A113),MONTH(A113),1))</f>
        <v/>
      </c>
      <c r="K113" s="14" t="n"/>
    </row>
    <row r="114">
      <c r="A114" s="49" t="n"/>
      <c r="B114" s="14" t="n"/>
      <c r="C114" s="14" t="n"/>
      <c r="D114" s="14" t="n"/>
      <c r="E114" s="48" t="n"/>
      <c r="F114" s="50">
        <f>IF(A114="","",Settings!$B$4)</f>
        <v/>
      </c>
      <c r="G114" s="48">
        <f>IF(E114="","",ROUND(E114*F114,2))</f>
        <v/>
      </c>
      <c r="H114" s="48">
        <f>IF(E114="","",E114+G114)</f>
        <v/>
      </c>
      <c r="I114" s="14" t="n"/>
      <c r="J114" s="51">
        <f>IF(A114="","",DATE(YEAR(A114),MONTH(A114),1))</f>
        <v/>
      </c>
      <c r="K114" s="14" t="n"/>
    </row>
    <row r="115">
      <c r="A115" s="49" t="n"/>
      <c r="B115" s="14" t="n"/>
      <c r="C115" s="14" t="n"/>
      <c r="D115" s="14" t="n"/>
      <c r="E115" s="48" t="n"/>
      <c r="F115" s="50">
        <f>IF(A115="","",Settings!$B$4)</f>
        <v/>
      </c>
      <c r="G115" s="48">
        <f>IF(E115="","",ROUND(E115*F115,2))</f>
        <v/>
      </c>
      <c r="H115" s="48">
        <f>IF(E115="","",E115+G115)</f>
        <v/>
      </c>
      <c r="I115" s="14" t="n"/>
      <c r="J115" s="51">
        <f>IF(A115="","",DATE(YEAR(A115),MONTH(A115),1))</f>
        <v/>
      </c>
      <c r="K115" s="14" t="n"/>
    </row>
    <row r="116">
      <c r="A116" s="49" t="n"/>
      <c r="B116" s="14" t="n"/>
      <c r="C116" s="14" t="n"/>
      <c r="D116" s="14" t="n"/>
      <c r="E116" s="48" t="n"/>
      <c r="F116" s="50">
        <f>IF(A116="","",Settings!$B$4)</f>
        <v/>
      </c>
      <c r="G116" s="48">
        <f>IF(E116="","",ROUND(E116*F116,2))</f>
        <v/>
      </c>
      <c r="H116" s="48">
        <f>IF(E116="","",E116+G116)</f>
        <v/>
      </c>
      <c r="I116" s="14" t="n"/>
      <c r="J116" s="51">
        <f>IF(A116="","",DATE(YEAR(A116),MONTH(A116),1))</f>
        <v/>
      </c>
      <c r="K116" s="14" t="n"/>
    </row>
    <row r="117">
      <c r="A117" s="49" t="n"/>
      <c r="B117" s="14" t="n"/>
      <c r="C117" s="14" t="n"/>
      <c r="D117" s="14" t="n"/>
      <c r="E117" s="48" t="n"/>
      <c r="F117" s="50">
        <f>IF(A117="","",Settings!$B$4)</f>
        <v/>
      </c>
      <c r="G117" s="48">
        <f>IF(E117="","",ROUND(E117*F117,2))</f>
        <v/>
      </c>
      <c r="H117" s="48">
        <f>IF(E117="","",E117+G117)</f>
        <v/>
      </c>
      <c r="I117" s="14" t="n"/>
      <c r="J117" s="51">
        <f>IF(A117="","",DATE(YEAR(A117),MONTH(A117),1))</f>
        <v/>
      </c>
      <c r="K117" s="14" t="n"/>
    </row>
    <row r="118">
      <c r="A118" s="49" t="n"/>
      <c r="B118" s="14" t="n"/>
      <c r="C118" s="14" t="n"/>
      <c r="D118" s="14" t="n"/>
      <c r="E118" s="48" t="n"/>
      <c r="F118" s="50">
        <f>IF(A118="","",Settings!$B$4)</f>
        <v/>
      </c>
      <c r="G118" s="48">
        <f>IF(E118="","",ROUND(E118*F118,2))</f>
        <v/>
      </c>
      <c r="H118" s="48">
        <f>IF(E118="","",E118+G118)</f>
        <v/>
      </c>
      <c r="I118" s="14" t="n"/>
      <c r="J118" s="51">
        <f>IF(A118="","",DATE(YEAR(A118),MONTH(A118),1))</f>
        <v/>
      </c>
      <c r="K118" s="14" t="n"/>
    </row>
    <row r="119">
      <c r="A119" s="49" t="n"/>
      <c r="B119" s="14" t="n"/>
      <c r="C119" s="14" t="n"/>
      <c r="D119" s="14" t="n"/>
      <c r="E119" s="48" t="n"/>
      <c r="F119" s="50">
        <f>IF(A119="","",Settings!$B$4)</f>
        <v/>
      </c>
      <c r="G119" s="48">
        <f>IF(E119="","",ROUND(E119*F119,2))</f>
        <v/>
      </c>
      <c r="H119" s="48">
        <f>IF(E119="","",E119+G119)</f>
        <v/>
      </c>
      <c r="I119" s="14" t="n"/>
      <c r="J119" s="51">
        <f>IF(A119="","",DATE(YEAR(A119),MONTH(A119),1))</f>
        <v/>
      </c>
      <c r="K119" s="14" t="n"/>
    </row>
    <row r="120">
      <c r="A120" s="49" t="n"/>
      <c r="B120" s="14" t="n"/>
      <c r="C120" s="14" t="n"/>
      <c r="D120" s="14" t="n"/>
      <c r="E120" s="48" t="n"/>
      <c r="F120" s="50">
        <f>IF(A120="","",Settings!$B$4)</f>
        <v/>
      </c>
      <c r="G120" s="48">
        <f>IF(E120="","",ROUND(E120*F120,2))</f>
        <v/>
      </c>
      <c r="H120" s="48">
        <f>IF(E120="","",E120+G120)</f>
        <v/>
      </c>
      <c r="I120" s="14" t="n"/>
      <c r="J120" s="51">
        <f>IF(A120="","",DATE(YEAR(A120),MONTH(A120),1))</f>
        <v/>
      </c>
      <c r="K120" s="14" t="n"/>
    </row>
    <row r="121">
      <c r="A121" s="49" t="n"/>
      <c r="B121" s="14" t="n"/>
      <c r="C121" s="14" t="n"/>
      <c r="D121" s="14" t="n"/>
      <c r="E121" s="48" t="n"/>
      <c r="F121" s="50">
        <f>IF(A121="","",Settings!$B$4)</f>
        <v/>
      </c>
      <c r="G121" s="48">
        <f>IF(E121="","",ROUND(E121*F121,2))</f>
        <v/>
      </c>
      <c r="H121" s="48">
        <f>IF(E121="","",E121+G121)</f>
        <v/>
      </c>
      <c r="I121" s="14" t="n"/>
      <c r="J121" s="51">
        <f>IF(A121="","",DATE(YEAR(A121),MONTH(A121),1))</f>
        <v/>
      </c>
      <c r="K121" s="14" t="n"/>
    </row>
    <row r="122">
      <c r="A122" s="49" t="n"/>
      <c r="B122" s="14" t="n"/>
      <c r="C122" s="14" t="n"/>
      <c r="D122" s="14" t="n"/>
      <c r="E122" s="48" t="n"/>
      <c r="F122" s="50">
        <f>IF(A122="","",Settings!$B$4)</f>
        <v/>
      </c>
      <c r="G122" s="48">
        <f>IF(E122="","",ROUND(E122*F122,2))</f>
        <v/>
      </c>
      <c r="H122" s="48">
        <f>IF(E122="","",E122+G122)</f>
        <v/>
      </c>
      <c r="I122" s="14" t="n"/>
      <c r="J122" s="51">
        <f>IF(A122="","",DATE(YEAR(A122),MONTH(A122),1))</f>
        <v/>
      </c>
      <c r="K122" s="14" t="n"/>
    </row>
    <row r="123">
      <c r="A123" s="49" t="n"/>
      <c r="B123" s="14" t="n"/>
      <c r="C123" s="14" t="n"/>
      <c r="D123" s="14" t="n"/>
      <c r="E123" s="48" t="n"/>
      <c r="F123" s="50">
        <f>IF(A123="","",Settings!$B$4)</f>
        <v/>
      </c>
      <c r="G123" s="48">
        <f>IF(E123="","",ROUND(E123*F123,2))</f>
        <v/>
      </c>
      <c r="H123" s="48">
        <f>IF(E123="","",E123+G123)</f>
        <v/>
      </c>
      <c r="I123" s="14" t="n"/>
      <c r="J123" s="51">
        <f>IF(A123="","",DATE(YEAR(A123),MONTH(A123),1))</f>
        <v/>
      </c>
      <c r="K123" s="14" t="n"/>
    </row>
    <row r="124">
      <c r="A124" s="49" t="n"/>
      <c r="B124" s="14" t="n"/>
      <c r="C124" s="14" t="n"/>
      <c r="D124" s="14" t="n"/>
      <c r="E124" s="48" t="n"/>
      <c r="F124" s="50">
        <f>IF(A124="","",Settings!$B$4)</f>
        <v/>
      </c>
      <c r="G124" s="48">
        <f>IF(E124="","",ROUND(E124*F124,2))</f>
        <v/>
      </c>
      <c r="H124" s="48">
        <f>IF(E124="","",E124+G124)</f>
        <v/>
      </c>
      <c r="I124" s="14" t="n"/>
      <c r="J124" s="51">
        <f>IF(A124="","",DATE(YEAR(A124),MONTH(A124),1))</f>
        <v/>
      </c>
      <c r="K124" s="14" t="n"/>
    </row>
    <row r="125">
      <c r="A125" s="49" t="n"/>
      <c r="B125" s="14" t="n"/>
      <c r="C125" s="14" t="n"/>
      <c r="D125" s="14" t="n"/>
      <c r="E125" s="48" t="n"/>
      <c r="F125" s="50">
        <f>IF(A125="","",Settings!$B$4)</f>
        <v/>
      </c>
      <c r="G125" s="48">
        <f>IF(E125="","",ROUND(E125*F125,2))</f>
        <v/>
      </c>
      <c r="H125" s="48">
        <f>IF(E125="","",E125+G125)</f>
        <v/>
      </c>
      <c r="I125" s="14" t="n"/>
      <c r="J125" s="51">
        <f>IF(A125="","",DATE(YEAR(A125),MONTH(A125),1))</f>
        <v/>
      </c>
      <c r="K125" s="14" t="n"/>
    </row>
    <row r="126">
      <c r="A126" s="49" t="n"/>
      <c r="B126" s="14" t="n"/>
      <c r="C126" s="14" t="n"/>
      <c r="D126" s="14" t="n"/>
      <c r="E126" s="48" t="n"/>
      <c r="F126" s="50">
        <f>IF(A126="","",Settings!$B$4)</f>
        <v/>
      </c>
      <c r="G126" s="48">
        <f>IF(E126="","",ROUND(E126*F126,2))</f>
        <v/>
      </c>
      <c r="H126" s="48">
        <f>IF(E126="","",E126+G126)</f>
        <v/>
      </c>
      <c r="I126" s="14" t="n"/>
      <c r="J126" s="51">
        <f>IF(A126="","",DATE(YEAR(A126),MONTH(A126),1))</f>
        <v/>
      </c>
      <c r="K126" s="14" t="n"/>
    </row>
    <row r="127">
      <c r="A127" s="49" t="n"/>
      <c r="B127" s="14" t="n"/>
      <c r="C127" s="14" t="n"/>
      <c r="D127" s="14" t="n"/>
      <c r="E127" s="48" t="n"/>
      <c r="F127" s="50">
        <f>IF(A127="","",Settings!$B$4)</f>
        <v/>
      </c>
      <c r="G127" s="48">
        <f>IF(E127="","",ROUND(E127*F127,2))</f>
        <v/>
      </c>
      <c r="H127" s="48">
        <f>IF(E127="","",E127+G127)</f>
        <v/>
      </c>
      <c r="I127" s="14" t="n"/>
      <c r="J127" s="51">
        <f>IF(A127="","",DATE(YEAR(A127),MONTH(A127),1))</f>
        <v/>
      </c>
      <c r="K127" s="14" t="n"/>
    </row>
    <row r="128">
      <c r="A128" s="49" t="n"/>
      <c r="B128" s="14" t="n"/>
      <c r="C128" s="14" t="n"/>
      <c r="D128" s="14" t="n"/>
      <c r="E128" s="48" t="n"/>
      <c r="F128" s="50">
        <f>IF(A128="","",Settings!$B$4)</f>
        <v/>
      </c>
      <c r="G128" s="48">
        <f>IF(E128="","",ROUND(E128*F128,2))</f>
        <v/>
      </c>
      <c r="H128" s="48">
        <f>IF(E128="","",E128+G128)</f>
        <v/>
      </c>
      <c r="I128" s="14" t="n"/>
      <c r="J128" s="51">
        <f>IF(A128="","",DATE(YEAR(A128),MONTH(A128),1))</f>
        <v/>
      </c>
      <c r="K128" s="14" t="n"/>
    </row>
    <row r="129">
      <c r="A129" s="49" t="n"/>
      <c r="B129" s="14" t="n"/>
      <c r="C129" s="14" t="n"/>
      <c r="D129" s="14" t="n"/>
      <c r="E129" s="48" t="n"/>
      <c r="F129" s="50">
        <f>IF(A129="","",Settings!$B$4)</f>
        <v/>
      </c>
      <c r="G129" s="48">
        <f>IF(E129="","",ROUND(E129*F129,2))</f>
        <v/>
      </c>
      <c r="H129" s="48">
        <f>IF(E129="","",E129+G129)</f>
        <v/>
      </c>
      <c r="I129" s="14" t="n"/>
      <c r="J129" s="51">
        <f>IF(A129="","",DATE(YEAR(A129),MONTH(A129),1))</f>
        <v/>
      </c>
      <c r="K129" s="14" t="n"/>
    </row>
    <row r="130">
      <c r="A130" s="49" t="n"/>
      <c r="B130" s="14" t="n"/>
      <c r="C130" s="14" t="n"/>
      <c r="D130" s="14" t="n"/>
      <c r="E130" s="48" t="n"/>
      <c r="F130" s="50">
        <f>IF(A130="","",Settings!$B$4)</f>
        <v/>
      </c>
      <c r="G130" s="48">
        <f>IF(E130="","",ROUND(E130*F130,2))</f>
        <v/>
      </c>
      <c r="H130" s="48">
        <f>IF(E130="","",E130+G130)</f>
        <v/>
      </c>
      <c r="I130" s="14" t="n"/>
      <c r="J130" s="51">
        <f>IF(A130="","",DATE(YEAR(A130),MONTH(A130),1))</f>
        <v/>
      </c>
      <c r="K130" s="14" t="n"/>
    </row>
    <row r="131">
      <c r="A131" s="49" t="n"/>
      <c r="B131" s="14" t="n"/>
      <c r="C131" s="14" t="n"/>
      <c r="D131" s="14" t="n"/>
      <c r="E131" s="48" t="n"/>
      <c r="F131" s="50">
        <f>IF(A131="","",Settings!$B$4)</f>
        <v/>
      </c>
      <c r="G131" s="48">
        <f>IF(E131="","",ROUND(E131*F131,2))</f>
        <v/>
      </c>
      <c r="H131" s="48">
        <f>IF(E131="","",E131+G131)</f>
        <v/>
      </c>
      <c r="I131" s="14" t="n"/>
      <c r="J131" s="51">
        <f>IF(A131="","",DATE(YEAR(A131),MONTH(A131),1))</f>
        <v/>
      </c>
      <c r="K131" s="14" t="n"/>
    </row>
    <row r="132">
      <c r="A132" s="49" t="n"/>
      <c r="B132" s="14" t="n"/>
      <c r="C132" s="14" t="n"/>
      <c r="D132" s="14" t="n"/>
      <c r="E132" s="48" t="n"/>
      <c r="F132" s="50">
        <f>IF(A132="","",Settings!$B$4)</f>
        <v/>
      </c>
      <c r="G132" s="48">
        <f>IF(E132="","",ROUND(E132*F132,2))</f>
        <v/>
      </c>
      <c r="H132" s="48">
        <f>IF(E132="","",E132+G132)</f>
        <v/>
      </c>
      <c r="I132" s="14" t="n"/>
      <c r="J132" s="51">
        <f>IF(A132="","",DATE(YEAR(A132),MONTH(A132),1))</f>
        <v/>
      </c>
      <c r="K132" s="14" t="n"/>
    </row>
    <row r="133">
      <c r="A133" s="49" t="n"/>
      <c r="B133" s="14" t="n"/>
      <c r="C133" s="14" t="n"/>
      <c r="D133" s="14" t="n"/>
      <c r="E133" s="48" t="n"/>
      <c r="F133" s="50">
        <f>IF(A133="","",Settings!$B$4)</f>
        <v/>
      </c>
      <c r="G133" s="48">
        <f>IF(E133="","",ROUND(E133*F133,2))</f>
        <v/>
      </c>
      <c r="H133" s="48">
        <f>IF(E133="","",E133+G133)</f>
        <v/>
      </c>
      <c r="I133" s="14" t="n"/>
      <c r="J133" s="51">
        <f>IF(A133="","",DATE(YEAR(A133),MONTH(A133),1))</f>
        <v/>
      </c>
      <c r="K133" s="14" t="n"/>
    </row>
    <row r="134">
      <c r="A134" s="49" t="n"/>
      <c r="B134" s="14" t="n"/>
      <c r="C134" s="14" t="n"/>
      <c r="D134" s="14" t="n"/>
      <c r="E134" s="48" t="n"/>
      <c r="F134" s="50">
        <f>IF(A134="","",Settings!$B$4)</f>
        <v/>
      </c>
      <c r="G134" s="48">
        <f>IF(E134="","",ROUND(E134*F134,2))</f>
        <v/>
      </c>
      <c r="H134" s="48">
        <f>IF(E134="","",E134+G134)</f>
        <v/>
      </c>
      <c r="I134" s="14" t="n"/>
      <c r="J134" s="51">
        <f>IF(A134="","",DATE(YEAR(A134),MONTH(A134),1))</f>
        <v/>
      </c>
      <c r="K134" s="14" t="n"/>
    </row>
    <row r="135">
      <c r="A135" s="49" t="n"/>
      <c r="B135" s="14" t="n"/>
      <c r="C135" s="14" t="n"/>
      <c r="D135" s="14" t="n"/>
      <c r="E135" s="48" t="n"/>
      <c r="F135" s="50">
        <f>IF(A135="","",Settings!$B$4)</f>
        <v/>
      </c>
      <c r="G135" s="48">
        <f>IF(E135="","",ROUND(E135*F135,2))</f>
        <v/>
      </c>
      <c r="H135" s="48">
        <f>IF(E135="","",E135+G135)</f>
        <v/>
      </c>
      <c r="I135" s="14" t="n"/>
      <c r="J135" s="51">
        <f>IF(A135="","",DATE(YEAR(A135),MONTH(A135),1))</f>
        <v/>
      </c>
      <c r="K135" s="14" t="n"/>
    </row>
    <row r="136">
      <c r="A136" s="49" t="n"/>
      <c r="B136" s="14" t="n"/>
      <c r="C136" s="14" t="n"/>
      <c r="D136" s="14" t="n"/>
      <c r="E136" s="48" t="n"/>
      <c r="F136" s="50">
        <f>IF(A136="","",Settings!$B$4)</f>
        <v/>
      </c>
      <c r="G136" s="48">
        <f>IF(E136="","",ROUND(E136*F136,2))</f>
        <v/>
      </c>
      <c r="H136" s="48">
        <f>IF(E136="","",E136+G136)</f>
        <v/>
      </c>
      <c r="I136" s="14" t="n"/>
      <c r="J136" s="51">
        <f>IF(A136="","",DATE(YEAR(A136),MONTH(A136),1))</f>
        <v/>
      </c>
      <c r="K136" s="14" t="n"/>
    </row>
    <row r="137">
      <c r="A137" s="49" t="n"/>
      <c r="B137" s="14" t="n"/>
      <c r="C137" s="14" t="n"/>
      <c r="D137" s="14" t="n"/>
      <c r="E137" s="48" t="n"/>
      <c r="F137" s="50">
        <f>IF(A137="","",Settings!$B$4)</f>
        <v/>
      </c>
      <c r="G137" s="48">
        <f>IF(E137="","",ROUND(E137*F137,2))</f>
        <v/>
      </c>
      <c r="H137" s="48">
        <f>IF(E137="","",E137+G137)</f>
        <v/>
      </c>
      <c r="I137" s="14" t="n"/>
      <c r="J137" s="51">
        <f>IF(A137="","",DATE(YEAR(A137),MONTH(A137),1))</f>
        <v/>
      </c>
      <c r="K137" s="14" t="n"/>
    </row>
    <row r="138">
      <c r="A138" s="49" t="n"/>
      <c r="B138" s="14" t="n"/>
      <c r="C138" s="14" t="n"/>
      <c r="D138" s="14" t="n"/>
      <c r="E138" s="48" t="n"/>
      <c r="F138" s="50">
        <f>IF(A138="","",Settings!$B$4)</f>
        <v/>
      </c>
      <c r="G138" s="48">
        <f>IF(E138="","",ROUND(E138*F138,2))</f>
        <v/>
      </c>
      <c r="H138" s="48">
        <f>IF(E138="","",E138+G138)</f>
        <v/>
      </c>
      <c r="I138" s="14" t="n"/>
      <c r="J138" s="51">
        <f>IF(A138="","",DATE(YEAR(A138),MONTH(A138),1))</f>
        <v/>
      </c>
      <c r="K138" s="14" t="n"/>
    </row>
    <row r="139">
      <c r="A139" s="49" t="n"/>
      <c r="B139" s="14" t="n"/>
      <c r="C139" s="14" t="n"/>
      <c r="D139" s="14" t="n"/>
      <c r="E139" s="48" t="n"/>
      <c r="F139" s="50">
        <f>IF(A139="","",Settings!$B$4)</f>
        <v/>
      </c>
      <c r="G139" s="48">
        <f>IF(E139="","",ROUND(E139*F139,2))</f>
        <v/>
      </c>
      <c r="H139" s="48">
        <f>IF(E139="","",E139+G139)</f>
        <v/>
      </c>
      <c r="I139" s="14" t="n"/>
      <c r="J139" s="51">
        <f>IF(A139="","",DATE(YEAR(A139),MONTH(A139),1))</f>
        <v/>
      </c>
      <c r="K139" s="14" t="n"/>
    </row>
    <row r="140">
      <c r="A140" s="49" t="n"/>
      <c r="B140" s="14" t="n"/>
      <c r="C140" s="14" t="n"/>
      <c r="D140" s="14" t="n"/>
      <c r="E140" s="48" t="n"/>
      <c r="F140" s="50">
        <f>IF(A140="","",Settings!$B$4)</f>
        <v/>
      </c>
      <c r="G140" s="48">
        <f>IF(E140="","",ROUND(E140*F140,2))</f>
        <v/>
      </c>
      <c r="H140" s="48">
        <f>IF(E140="","",E140+G140)</f>
        <v/>
      </c>
      <c r="I140" s="14" t="n"/>
      <c r="J140" s="51">
        <f>IF(A140="","",DATE(YEAR(A140),MONTH(A140),1))</f>
        <v/>
      </c>
      <c r="K140" s="14" t="n"/>
    </row>
    <row r="141">
      <c r="A141" s="49" t="n"/>
      <c r="B141" s="14" t="n"/>
      <c r="C141" s="14" t="n"/>
      <c r="D141" s="14" t="n"/>
      <c r="E141" s="48" t="n"/>
      <c r="F141" s="50">
        <f>IF(A141="","",Settings!$B$4)</f>
        <v/>
      </c>
      <c r="G141" s="48">
        <f>IF(E141="","",ROUND(E141*F141,2))</f>
        <v/>
      </c>
      <c r="H141" s="48">
        <f>IF(E141="","",E141+G141)</f>
        <v/>
      </c>
      <c r="I141" s="14" t="n"/>
      <c r="J141" s="51">
        <f>IF(A141="","",DATE(YEAR(A141),MONTH(A141),1))</f>
        <v/>
      </c>
      <c r="K141" s="14" t="n"/>
    </row>
    <row r="142">
      <c r="A142" s="49" t="n"/>
      <c r="B142" s="14" t="n"/>
      <c r="C142" s="14" t="n"/>
      <c r="D142" s="14" t="n"/>
      <c r="E142" s="48" t="n"/>
      <c r="F142" s="50">
        <f>IF(A142="","",Settings!$B$4)</f>
        <v/>
      </c>
      <c r="G142" s="48">
        <f>IF(E142="","",ROUND(E142*F142,2))</f>
        <v/>
      </c>
      <c r="H142" s="48">
        <f>IF(E142="","",E142+G142)</f>
        <v/>
      </c>
      <c r="I142" s="14" t="n"/>
      <c r="J142" s="51">
        <f>IF(A142="","",DATE(YEAR(A142),MONTH(A142),1))</f>
        <v/>
      </c>
      <c r="K142" s="14" t="n"/>
    </row>
    <row r="143">
      <c r="A143" s="49" t="n"/>
      <c r="B143" s="14" t="n"/>
      <c r="C143" s="14" t="n"/>
      <c r="D143" s="14" t="n"/>
      <c r="E143" s="48" t="n"/>
      <c r="F143" s="50">
        <f>IF(A143="","",Settings!$B$4)</f>
        <v/>
      </c>
      <c r="G143" s="48">
        <f>IF(E143="","",ROUND(E143*F143,2))</f>
        <v/>
      </c>
      <c r="H143" s="48">
        <f>IF(E143="","",E143+G143)</f>
        <v/>
      </c>
      <c r="I143" s="14" t="n"/>
      <c r="J143" s="51">
        <f>IF(A143="","",DATE(YEAR(A143),MONTH(A143),1))</f>
        <v/>
      </c>
      <c r="K143" s="14" t="n"/>
    </row>
    <row r="144">
      <c r="A144" s="49" t="n"/>
      <c r="B144" s="14" t="n"/>
      <c r="C144" s="14" t="n"/>
      <c r="D144" s="14" t="n"/>
      <c r="E144" s="48" t="n"/>
      <c r="F144" s="50">
        <f>IF(A144="","",Settings!$B$4)</f>
        <v/>
      </c>
      <c r="G144" s="48">
        <f>IF(E144="","",ROUND(E144*F144,2))</f>
        <v/>
      </c>
      <c r="H144" s="48">
        <f>IF(E144="","",E144+G144)</f>
        <v/>
      </c>
      <c r="I144" s="14" t="n"/>
      <c r="J144" s="51">
        <f>IF(A144="","",DATE(YEAR(A144),MONTH(A144),1))</f>
        <v/>
      </c>
      <c r="K144" s="14" t="n"/>
    </row>
    <row r="145">
      <c r="A145" s="49" t="n"/>
      <c r="B145" s="14" t="n"/>
      <c r="C145" s="14" t="n"/>
      <c r="D145" s="14" t="n"/>
      <c r="E145" s="48" t="n"/>
      <c r="F145" s="50">
        <f>IF(A145="","",Settings!$B$4)</f>
        <v/>
      </c>
      <c r="G145" s="48">
        <f>IF(E145="","",ROUND(E145*F145,2))</f>
        <v/>
      </c>
      <c r="H145" s="48">
        <f>IF(E145="","",E145+G145)</f>
        <v/>
      </c>
      <c r="I145" s="14" t="n"/>
      <c r="J145" s="51">
        <f>IF(A145="","",DATE(YEAR(A145),MONTH(A145),1))</f>
        <v/>
      </c>
      <c r="K145" s="14" t="n"/>
    </row>
    <row r="146">
      <c r="A146" s="49" t="n"/>
      <c r="B146" s="14" t="n"/>
      <c r="C146" s="14" t="n"/>
      <c r="D146" s="14" t="n"/>
      <c r="E146" s="48" t="n"/>
      <c r="F146" s="50">
        <f>IF(A146="","",Settings!$B$4)</f>
        <v/>
      </c>
      <c r="G146" s="48">
        <f>IF(E146="","",ROUND(E146*F146,2))</f>
        <v/>
      </c>
      <c r="H146" s="48">
        <f>IF(E146="","",E146+G146)</f>
        <v/>
      </c>
      <c r="I146" s="14" t="n"/>
      <c r="J146" s="51">
        <f>IF(A146="","",DATE(YEAR(A146),MONTH(A146),1))</f>
        <v/>
      </c>
      <c r="K146" s="14" t="n"/>
    </row>
    <row r="147">
      <c r="A147" s="49" t="n"/>
      <c r="B147" s="14" t="n"/>
      <c r="C147" s="14" t="n"/>
      <c r="D147" s="14" t="n"/>
      <c r="E147" s="48" t="n"/>
      <c r="F147" s="50">
        <f>IF(A147="","",Settings!$B$4)</f>
        <v/>
      </c>
      <c r="G147" s="48">
        <f>IF(E147="","",ROUND(E147*F147,2))</f>
        <v/>
      </c>
      <c r="H147" s="48">
        <f>IF(E147="","",E147+G147)</f>
        <v/>
      </c>
      <c r="I147" s="14" t="n"/>
      <c r="J147" s="51">
        <f>IF(A147="","",DATE(YEAR(A147),MONTH(A147),1))</f>
        <v/>
      </c>
      <c r="K147" s="14" t="n"/>
    </row>
    <row r="148">
      <c r="A148" s="49" t="n"/>
      <c r="B148" s="14" t="n"/>
      <c r="C148" s="14" t="n"/>
      <c r="D148" s="14" t="n"/>
      <c r="E148" s="48" t="n"/>
      <c r="F148" s="50">
        <f>IF(A148="","",Settings!$B$4)</f>
        <v/>
      </c>
      <c r="G148" s="48">
        <f>IF(E148="","",ROUND(E148*F148,2))</f>
        <v/>
      </c>
      <c r="H148" s="48">
        <f>IF(E148="","",E148+G148)</f>
        <v/>
      </c>
      <c r="I148" s="14" t="n"/>
      <c r="J148" s="51">
        <f>IF(A148="","",DATE(YEAR(A148),MONTH(A148),1))</f>
        <v/>
      </c>
      <c r="K148" s="14" t="n"/>
    </row>
    <row r="149">
      <c r="A149" s="49" t="n"/>
      <c r="B149" s="14" t="n"/>
      <c r="C149" s="14" t="n"/>
      <c r="D149" s="14" t="n"/>
      <c r="E149" s="48" t="n"/>
      <c r="F149" s="50">
        <f>IF(A149="","",Settings!$B$4)</f>
        <v/>
      </c>
      <c r="G149" s="48">
        <f>IF(E149="","",ROUND(E149*F149,2))</f>
        <v/>
      </c>
      <c r="H149" s="48">
        <f>IF(E149="","",E149+G149)</f>
        <v/>
      </c>
      <c r="I149" s="14" t="n"/>
      <c r="J149" s="51">
        <f>IF(A149="","",DATE(YEAR(A149),MONTH(A149),1))</f>
        <v/>
      </c>
      <c r="K149" s="14" t="n"/>
    </row>
    <row r="150">
      <c r="A150" s="49" t="n"/>
      <c r="B150" s="14" t="n"/>
      <c r="C150" s="14" t="n"/>
      <c r="D150" s="14" t="n"/>
      <c r="E150" s="48" t="n"/>
      <c r="F150" s="50">
        <f>IF(A150="","",Settings!$B$4)</f>
        <v/>
      </c>
      <c r="G150" s="48">
        <f>IF(E150="","",ROUND(E150*F150,2))</f>
        <v/>
      </c>
      <c r="H150" s="48">
        <f>IF(E150="","",E150+G150)</f>
        <v/>
      </c>
      <c r="I150" s="14" t="n"/>
      <c r="J150" s="51">
        <f>IF(A150="","",DATE(YEAR(A150),MONTH(A150),1))</f>
        <v/>
      </c>
      <c r="K150" s="14" t="n"/>
    </row>
    <row r="151">
      <c r="A151" s="49" t="n"/>
      <c r="B151" s="14" t="n"/>
      <c r="C151" s="14" t="n"/>
      <c r="D151" s="14" t="n"/>
      <c r="E151" s="48" t="n"/>
      <c r="F151" s="50">
        <f>IF(A151="","",Settings!$B$4)</f>
        <v/>
      </c>
      <c r="G151" s="48">
        <f>IF(E151="","",ROUND(E151*F151,2))</f>
        <v/>
      </c>
      <c r="H151" s="48">
        <f>IF(E151="","",E151+G151)</f>
        <v/>
      </c>
      <c r="I151" s="14" t="n"/>
      <c r="J151" s="51">
        <f>IF(A151="","",DATE(YEAR(A151),MONTH(A151),1))</f>
        <v/>
      </c>
      <c r="K151" s="14" t="n"/>
    </row>
    <row r="152">
      <c r="A152" s="49" t="n"/>
      <c r="B152" s="14" t="n"/>
      <c r="C152" s="14" t="n"/>
      <c r="D152" s="14" t="n"/>
      <c r="E152" s="48" t="n"/>
      <c r="F152" s="50">
        <f>IF(A152="","",Settings!$B$4)</f>
        <v/>
      </c>
      <c r="G152" s="48">
        <f>IF(E152="","",ROUND(E152*F152,2))</f>
        <v/>
      </c>
      <c r="H152" s="48">
        <f>IF(E152="","",E152+G152)</f>
        <v/>
      </c>
      <c r="I152" s="14" t="n"/>
      <c r="J152" s="51">
        <f>IF(A152="","",DATE(YEAR(A152),MONTH(A152),1))</f>
        <v/>
      </c>
      <c r="K152" s="14" t="n"/>
    </row>
    <row r="153">
      <c r="A153" s="49" t="n"/>
      <c r="B153" s="14" t="n"/>
      <c r="C153" s="14" t="n"/>
      <c r="D153" s="14" t="n"/>
      <c r="E153" s="48" t="n"/>
      <c r="F153" s="50">
        <f>IF(A153="","",Settings!$B$4)</f>
        <v/>
      </c>
      <c r="G153" s="48">
        <f>IF(E153="","",ROUND(E153*F153,2))</f>
        <v/>
      </c>
      <c r="H153" s="48">
        <f>IF(E153="","",E153+G153)</f>
        <v/>
      </c>
      <c r="I153" s="14" t="n"/>
      <c r="J153" s="51">
        <f>IF(A153="","",DATE(YEAR(A153),MONTH(A153),1))</f>
        <v/>
      </c>
      <c r="K153" s="14" t="n"/>
    </row>
    <row r="154">
      <c r="A154" s="49" t="n"/>
      <c r="B154" s="14" t="n"/>
      <c r="C154" s="14" t="n"/>
      <c r="D154" s="14" t="n"/>
      <c r="E154" s="48" t="n"/>
      <c r="F154" s="50">
        <f>IF(A154="","",Settings!$B$4)</f>
        <v/>
      </c>
      <c r="G154" s="48">
        <f>IF(E154="","",ROUND(E154*F154,2))</f>
        <v/>
      </c>
      <c r="H154" s="48">
        <f>IF(E154="","",E154+G154)</f>
        <v/>
      </c>
      <c r="I154" s="14" t="n"/>
      <c r="J154" s="51">
        <f>IF(A154="","",DATE(YEAR(A154),MONTH(A154),1))</f>
        <v/>
      </c>
      <c r="K154" s="14" t="n"/>
    </row>
    <row r="155">
      <c r="A155" s="49" t="n"/>
      <c r="B155" s="14" t="n"/>
      <c r="C155" s="14" t="n"/>
      <c r="D155" s="14" t="n"/>
      <c r="E155" s="48" t="n"/>
      <c r="F155" s="50">
        <f>IF(A155="","",Settings!$B$4)</f>
        <v/>
      </c>
      <c r="G155" s="48">
        <f>IF(E155="","",ROUND(E155*F155,2))</f>
        <v/>
      </c>
      <c r="H155" s="48">
        <f>IF(E155="","",E155+G155)</f>
        <v/>
      </c>
      <c r="I155" s="14" t="n"/>
      <c r="J155" s="51">
        <f>IF(A155="","",DATE(YEAR(A155),MONTH(A155),1))</f>
        <v/>
      </c>
      <c r="K155" s="14" t="n"/>
    </row>
    <row r="156">
      <c r="A156" s="49" t="n"/>
      <c r="B156" s="14" t="n"/>
      <c r="C156" s="14" t="n"/>
      <c r="D156" s="14" t="n"/>
      <c r="E156" s="48" t="n"/>
      <c r="F156" s="50">
        <f>IF(A156="","",Settings!$B$4)</f>
        <v/>
      </c>
      <c r="G156" s="48">
        <f>IF(E156="","",ROUND(E156*F156,2))</f>
        <v/>
      </c>
      <c r="H156" s="48">
        <f>IF(E156="","",E156+G156)</f>
        <v/>
      </c>
      <c r="I156" s="14" t="n"/>
      <c r="J156" s="51">
        <f>IF(A156="","",DATE(YEAR(A156),MONTH(A156),1))</f>
        <v/>
      </c>
      <c r="K156" s="14" t="n"/>
    </row>
    <row r="157">
      <c r="A157" s="49" t="n"/>
      <c r="B157" s="14" t="n"/>
      <c r="C157" s="14" t="n"/>
      <c r="D157" s="14" t="n"/>
      <c r="E157" s="48" t="n"/>
      <c r="F157" s="50">
        <f>IF(A157="","",Settings!$B$4)</f>
        <v/>
      </c>
      <c r="G157" s="48">
        <f>IF(E157="","",ROUND(E157*F157,2))</f>
        <v/>
      </c>
      <c r="H157" s="48">
        <f>IF(E157="","",E157+G157)</f>
        <v/>
      </c>
      <c r="I157" s="14" t="n"/>
      <c r="J157" s="51">
        <f>IF(A157="","",DATE(YEAR(A157),MONTH(A157),1))</f>
        <v/>
      </c>
      <c r="K157" s="14" t="n"/>
    </row>
    <row r="158">
      <c r="A158" s="49" t="n"/>
      <c r="B158" s="14" t="n"/>
      <c r="C158" s="14" t="n"/>
      <c r="D158" s="14" t="n"/>
      <c r="E158" s="48" t="n"/>
      <c r="F158" s="50">
        <f>IF(A158="","",Settings!$B$4)</f>
        <v/>
      </c>
      <c r="G158" s="48">
        <f>IF(E158="","",ROUND(E158*F158,2))</f>
        <v/>
      </c>
      <c r="H158" s="48">
        <f>IF(E158="","",E158+G158)</f>
        <v/>
      </c>
      <c r="I158" s="14" t="n"/>
      <c r="J158" s="51">
        <f>IF(A158="","",DATE(YEAR(A158),MONTH(A158),1))</f>
        <v/>
      </c>
      <c r="K158" s="14" t="n"/>
    </row>
    <row r="159">
      <c r="A159" s="49" t="n"/>
      <c r="B159" s="14" t="n"/>
      <c r="C159" s="14" t="n"/>
      <c r="D159" s="14" t="n"/>
      <c r="E159" s="48" t="n"/>
      <c r="F159" s="50">
        <f>IF(A159="","",Settings!$B$4)</f>
        <v/>
      </c>
      <c r="G159" s="48">
        <f>IF(E159="","",ROUND(E159*F159,2))</f>
        <v/>
      </c>
      <c r="H159" s="48">
        <f>IF(E159="","",E159+G159)</f>
        <v/>
      </c>
      <c r="I159" s="14" t="n"/>
      <c r="J159" s="51">
        <f>IF(A159="","",DATE(YEAR(A159),MONTH(A159),1))</f>
        <v/>
      </c>
      <c r="K159" s="14" t="n"/>
    </row>
    <row r="160">
      <c r="A160" s="49" t="n"/>
      <c r="B160" s="14" t="n"/>
      <c r="C160" s="14" t="n"/>
      <c r="D160" s="14" t="n"/>
      <c r="E160" s="48" t="n"/>
      <c r="F160" s="50">
        <f>IF(A160="","",Settings!$B$4)</f>
        <v/>
      </c>
      <c r="G160" s="48">
        <f>IF(E160="","",ROUND(E160*F160,2))</f>
        <v/>
      </c>
      <c r="H160" s="48">
        <f>IF(E160="","",E160+G160)</f>
        <v/>
      </c>
      <c r="I160" s="14" t="n"/>
      <c r="J160" s="51">
        <f>IF(A160="","",DATE(YEAR(A160),MONTH(A160),1))</f>
        <v/>
      </c>
      <c r="K160" s="14" t="n"/>
    </row>
    <row r="161">
      <c r="A161" s="49" t="n"/>
      <c r="B161" s="14" t="n"/>
      <c r="C161" s="14" t="n"/>
      <c r="D161" s="14" t="n"/>
      <c r="E161" s="48" t="n"/>
      <c r="F161" s="50">
        <f>IF(A161="","",Settings!$B$4)</f>
        <v/>
      </c>
      <c r="G161" s="48">
        <f>IF(E161="","",ROUND(E161*F161,2))</f>
        <v/>
      </c>
      <c r="H161" s="48">
        <f>IF(E161="","",E161+G161)</f>
        <v/>
      </c>
      <c r="I161" s="14" t="n"/>
      <c r="J161" s="51">
        <f>IF(A161="","",DATE(YEAR(A161),MONTH(A161),1))</f>
        <v/>
      </c>
      <c r="K161" s="14" t="n"/>
    </row>
    <row r="162">
      <c r="A162" s="49" t="n"/>
      <c r="B162" s="14" t="n"/>
      <c r="C162" s="14" t="n"/>
      <c r="D162" s="14" t="n"/>
      <c r="E162" s="48" t="n"/>
      <c r="F162" s="50">
        <f>IF(A162="","",Settings!$B$4)</f>
        <v/>
      </c>
      <c r="G162" s="48">
        <f>IF(E162="","",ROUND(E162*F162,2))</f>
        <v/>
      </c>
      <c r="H162" s="48">
        <f>IF(E162="","",E162+G162)</f>
        <v/>
      </c>
      <c r="I162" s="14" t="n"/>
      <c r="J162" s="51">
        <f>IF(A162="","",DATE(YEAR(A162),MONTH(A162),1))</f>
        <v/>
      </c>
      <c r="K162" s="14" t="n"/>
    </row>
    <row r="163">
      <c r="A163" s="49" t="n"/>
      <c r="B163" s="14" t="n"/>
      <c r="C163" s="14" t="n"/>
      <c r="D163" s="14" t="n"/>
      <c r="E163" s="48" t="n"/>
      <c r="F163" s="50">
        <f>IF(A163="","",Settings!$B$4)</f>
        <v/>
      </c>
      <c r="G163" s="48">
        <f>IF(E163="","",ROUND(E163*F163,2))</f>
        <v/>
      </c>
      <c r="H163" s="48">
        <f>IF(E163="","",E163+G163)</f>
        <v/>
      </c>
      <c r="I163" s="14" t="n"/>
      <c r="J163" s="51">
        <f>IF(A163="","",DATE(YEAR(A163),MONTH(A163),1))</f>
        <v/>
      </c>
      <c r="K163" s="14" t="n"/>
    </row>
    <row r="164">
      <c r="A164" s="49" t="n"/>
      <c r="B164" s="14" t="n"/>
      <c r="C164" s="14" t="n"/>
      <c r="D164" s="14" t="n"/>
      <c r="E164" s="48" t="n"/>
      <c r="F164" s="50">
        <f>IF(A164="","",Settings!$B$4)</f>
        <v/>
      </c>
      <c r="G164" s="48">
        <f>IF(E164="","",ROUND(E164*F164,2))</f>
        <v/>
      </c>
      <c r="H164" s="48">
        <f>IF(E164="","",E164+G164)</f>
        <v/>
      </c>
      <c r="I164" s="14" t="n"/>
      <c r="J164" s="51">
        <f>IF(A164="","",DATE(YEAR(A164),MONTH(A164),1))</f>
        <v/>
      </c>
      <c r="K164" s="14" t="n"/>
    </row>
    <row r="165">
      <c r="A165" s="49" t="n"/>
      <c r="B165" s="14" t="n"/>
      <c r="C165" s="14" t="n"/>
      <c r="D165" s="14" t="n"/>
      <c r="E165" s="48" t="n"/>
      <c r="F165" s="50">
        <f>IF(A165="","",Settings!$B$4)</f>
        <v/>
      </c>
      <c r="G165" s="48">
        <f>IF(E165="","",ROUND(E165*F165,2))</f>
        <v/>
      </c>
      <c r="H165" s="48">
        <f>IF(E165="","",E165+G165)</f>
        <v/>
      </c>
      <c r="I165" s="14" t="n"/>
      <c r="J165" s="51">
        <f>IF(A165="","",DATE(YEAR(A165),MONTH(A165),1))</f>
        <v/>
      </c>
      <c r="K165" s="14" t="n"/>
    </row>
    <row r="166">
      <c r="A166" s="49" t="n"/>
      <c r="B166" s="14" t="n"/>
      <c r="C166" s="14" t="n"/>
      <c r="D166" s="14" t="n"/>
      <c r="E166" s="48" t="n"/>
      <c r="F166" s="50">
        <f>IF(A166="","",Settings!$B$4)</f>
        <v/>
      </c>
      <c r="G166" s="48">
        <f>IF(E166="","",ROUND(E166*F166,2))</f>
        <v/>
      </c>
      <c r="H166" s="48">
        <f>IF(E166="","",E166+G166)</f>
        <v/>
      </c>
      <c r="I166" s="14" t="n"/>
      <c r="J166" s="51">
        <f>IF(A166="","",DATE(YEAR(A166),MONTH(A166),1))</f>
        <v/>
      </c>
      <c r="K166" s="14" t="n"/>
    </row>
    <row r="167">
      <c r="A167" s="49" t="n"/>
      <c r="B167" s="14" t="n"/>
      <c r="C167" s="14" t="n"/>
      <c r="D167" s="14" t="n"/>
      <c r="E167" s="48" t="n"/>
      <c r="F167" s="50">
        <f>IF(A167="","",Settings!$B$4)</f>
        <v/>
      </c>
      <c r="G167" s="48">
        <f>IF(E167="","",ROUND(E167*F167,2))</f>
        <v/>
      </c>
      <c r="H167" s="48">
        <f>IF(E167="","",E167+G167)</f>
        <v/>
      </c>
      <c r="I167" s="14" t="n"/>
      <c r="J167" s="51">
        <f>IF(A167="","",DATE(YEAR(A167),MONTH(A167),1))</f>
        <v/>
      </c>
      <c r="K167" s="14" t="n"/>
    </row>
    <row r="168">
      <c r="A168" s="49" t="n"/>
      <c r="B168" s="14" t="n"/>
      <c r="C168" s="14" t="n"/>
      <c r="D168" s="14" t="n"/>
      <c r="E168" s="48" t="n"/>
      <c r="F168" s="50">
        <f>IF(A168="","",Settings!$B$4)</f>
        <v/>
      </c>
      <c r="G168" s="48">
        <f>IF(E168="","",ROUND(E168*F168,2))</f>
        <v/>
      </c>
      <c r="H168" s="48">
        <f>IF(E168="","",E168+G168)</f>
        <v/>
      </c>
      <c r="I168" s="14" t="n"/>
      <c r="J168" s="51">
        <f>IF(A168="","",DATE(YEAR(A168),MONTH(A168),1))</f>
        <v/>
      </c>
      <c r="K168" s="14" t="n"/>
    </row>
    <row r="169">
      <c r="A169" s="49" t="n"/>
      <c r="B169" s="14" t="n"/>
      <c r="C169" s="14" t="n"/>
      <c r="D169" s="14" t="n"/>
      <c r="E169" s="48" t="n"/>
      <c r="F169" s="50">
        <f>IF(A169="","",Settings!$B$4)</f>
        <v/>
      </c>
      <c r="G169" s="48">
        <f>IF(E169="","",ROUND(E169*F169,2))</f>
        <v/>
      </c>
      <c r="H169" s="48">
        <f>IF(E169="","",E169+G169)</f>
        <v/>
      </c>
      <c r="I169" s="14" t="n"/>
      <c r="J169" s="51">
        <f>IF(A169="","",DATE(YEAR(A169),MONTH(A169),1))</f>
        <v/>
      </c>
      <c r="K169" s="14" t="n"/>
    </row>
    <row r="170">
      <c r="A170" s="49" t="n"/>
      <c r="B170" s="14" t="n"/>
      <c r="C170" s="14" t="n"/>
      <c r="D170" s="14" t="n"/>
      <c r="E170" s="48" t="n"/>
      <c r="F170" s="50">
        <f>IF(A170="","",Settings!$B$4)</f>
        <v/>
      </c>
      <c r="G170" s="48">
        <f>IF(E170="","",ROUND(E170*F170,2))</f>
        <v/>
      </c>
      <c r="H170" s="48">
        <f>IF(E170="","",E170+G170)</f>
        <v/>
      </c>
      <c r="I170" s="14" t="n"/>
      <c r="J170" s="51">
        <f>IF(A170="","",DATE(YEAR(A170),MONTH(A170),1))</f>
        <v/>
      </c>
      <c r="K170" s="14" t="n"/>
    </row>
    <row r="171">
      <c r="A171" s="49" t="n"/>
      <c r="B171" s="14" t="n"/>
      <c r="C171" s="14" t="n"/>
      <c r="D171" s="14" t="n"/>
      <c r="E171" s="48" t="n"/>
      <c r="F171" s="50">
        <f>IF(A171="","",Settings!$B$4)</f>
        <v/>
      </c>
      <c r="G171" s="48">
        <f>IF(E171="","",ROUND(E171*F171,2))</f>
        <v/>
      </c>
      <c r="H171" s="48">
        <f>IF(E171="","",E171+G171)</f>
        <v/>
      </c>
      <c r="I171" s="14" t="n"/>
      <c r="J171" s="51">
        <f>IF(A171="","",DATE(YEAR(A171),MONTH(A171),1))</f>
        <v/>
      </c>
      <c r="K171" s="14" t="n"/>
    </row>
    <row r="172">
      <c r="A172" s="49" t="n"/>
      <c r="B172" s="14" t="n"/>
      <c r="C172" s="14" t="n"/>
      <c r="D172" s="14" t="n"/>
      <c r="E172" s="48" t="n"/>
      <c r="F172" s="50">
        <f>IF(A172="","",Settings!$B$4)</f>
        <v/>
      </c>
      <c r="G172" s="48">
        <f>IF(E172="","",ROUND(E172*F172,2))</f>
        <v/>
      </c>
      <c r="H172" s="48">
        <f>IF(E172="","",E172+G172)</f>
        <v/>
      </c>
      <c r="I172" s="14" t="n"/>
      <c r="J172" s="51">
        <f>IF(A172="","",DATE(YEAR(A172),MONTH(A172),1))</f>
        <v/>
      </c>
      <c r="K172" s="14" t="n"/>
    </row>
    <row r="173">
      <c r="A173" s="49" t="n"/>
      <c r="B173" s="14" t="n"/>
      <c r="C173" s="14" t="n"/>
      <c r="D173" s="14" t="n"/>
      <c r="E173" s="48" t="n"/>
      <c r="F173" s="50">
        <f>IF(A173="","",Settings!$B$4)</f>
        <v/>
      </c>
      <c r="G173" s="48">
        <f>IF(E173="","",ROUND(E173*F173,2))</f>
        <v/>
      </c>
      <c r="H173" s="48">
        <f>IF(E173="","",E173+G173)</f>
        <v/>
      </c>
      <c r="I173" s="14" t="n"/>
      <c r="J173" s="51">
        <f>IF(A173="","",DATE(YEAR(A173),MONTH(A173),1))</f>
        <v/>
      </c>
      <c r="K173" s="14" t="n"/>
    </row>
    <row r="174">
      <c r="A174" s="49" t="n"/>
      <c r="B174" s="14" t="n"/>
      <c r="C174" s="14" t="n"/>
      <c r="D174" s="14" t="n"/>
      <c r="E174" s="48" t="n"/>
      <c r="F174" s="50">
        <f>IF(A174="","",Settings!$B$4)</f>
        <v/>
      </c>
      <c r="G174" s="48">
        <f>IF(E174="","",ROUND(E174*F174,2))</f>
        <v/>
      </c>
      <c r="H174" s="48">
        <f>IF(E174="","",E174+G174)</f>
        <v/>
      </c>
      <c r="I174" s="14" t="n"/>
      <c r="J174" s="51">
        <f>IF(A174="","",DATE(YEAR(A174),MONTH(A174),1))</f>
        <v/>
      </c>
      <c r="K174" s="14" t="n"/>
    </row>
    <row r="175">
      <c r="A175" s="49" t="n"/>
      <c r="B175" s="14" t="n"/>
      <c r="C175" s="14" t="n"/>
      <c r="D175" s="14" t="n"/>
      <c r="E175" s="48" t="n"/>
      <c r="F175" s="50">
        <f>IF(A175="","",Settings!$B$4)</f>
        <v/>
      </c>
      <c r="G175" s="48">
        <f>IF(E175="","",ROUND(E175*F175,2))</f>
        <v/>
      </c>
      <c r="H175" s="48">
        <f>IF(E175="","",E175+G175)</f>
        <v/>
      </c>
      <c r="I175" s="14" t="n"/>
      <c r="J175" s="51">
        <f>IF(A175="","",DATE(YEAR(A175),MONTH(A175),1))</f>
        <v/>
      </c>
      <c r="K175" s="14" t="n"/>
    </row>
    <row r="176">
      <c r="A176" s="49" t="n"/>
      <c r="B176" s="14" t="n"/>
      <c r="C176" s="14" t="n"/>
      <c r="D176" s="14" t="n"/>
      <c r="E176" s="48" t="n"/>
      <c r="F176" s="50">
        <f>IF(A176="","",Settings!$B$4)</f>
        <v/>
      </c>
      <c r="G176" s="48">
        <f>IF(E176="","",ROUND(E176*F176,2))</f>
        <v/>
      </c>
      <c r="H176" s="48">
        <f>IF(E176="","",E176+G176)</f>
        <v/>
      </c>
      <c r="I176" s="14" t="n"/>
      <c r="J176" s="51">
        <f>IF(A176="","",DATE(YEAR(A176),MONTH(A176),1))</f>
        <v/>
      </c>
      <c r="K176" s="14" t="n"/>
    </row>
    <row r="177">
      <c r="A177" s="49" t="n"/>
      <c r="B177" s="14" t="n"/>
      <c r="C177" s="14" t="n"/>
      <c r="D177" s="14" t="n"/>
      <c r="E177" s="48" t="n"/>
      <c r="F177" s="50">
        <f>IF(A177="","",Settings!$B$4)</f>
        <v/>
      </c>
      <c r="G177" s="48">
        <f>IF(E177="","",ROUND(E177*F177,2))</f>
        <v/>
      </c>
      <c r="H177" s="48">
        <f>IF(E177="","",E177+G177)</f>
        <v/>
      </c>
      <c r="I177" s="14" t="n"/>
      <c r="J177" s="51">
        <f>IF(A177="","",DATE(YEAR(A177),MONTH(A177),1))</f>
        <v/>
      </c>
      <c r="K177" s="14" t="n"/>
    </row>
    <row r="178">
      <c r="A178" s="49" t="n"/>
      <c r="B178" s="14" t="n"/>
      <c r="C178" s="14" t="n"/>
      <c r="D178" s="14" t="n"/>
      <c r="E178" s="48" t="n"/>
      <c r="F178" s="50">
        <f>IF(A178="","",Settings!$B$4)</f>
        <v/>
      </c>
      <c r="G178" s="48">
        <f>IF(E178="","",ROUND(E178*F178,2))</f>
        <v/>
      </c>
      <c r="H178" s="48">
        <f>IF(E178="","",E178+G178)</f>
        <v/>
      </c>
      <c r="I178" s="14" t="n"/>
      <c r="J178" s="51">
        <f>IF(A178="","",DATE(YEAR(A178),MONTH(A178),1))</f>
        <v/>
      </c>
      <c r="K178" s="14" t="n"/>
    </row>
    <row r="179">
      <c r="A179" s="49" t="n"/>
      <c r="B179" s="14" t="n"/>
      <c r="C179" s="14" t="n"/>
      <c r="D179" s="14" t="n"/>
      <c r="E179" s="48" t="n"/>
      <c r="F179" s="50">
        <f>IF(A179="","",Settings!$B$4)</f>
        <v/>
      </c>
      <c r="G179" s="48">
        <f>IF(E179="","",ROUND(E179*F179,2))</f>
        <v/>
      </c>
      <c r="H179" s="48">
        <f>IF(E179="","",E179+G179)</f>
        <v/>
      </c>
      <c r="I179" s="14" t="n"/>
      <c r="J179" s="51">
        <f>IF(A179="","",DATE(YEAR(A179),MONTH(A179),1))</f>
        <v/>
      </c>
      <c r="K179" s="14" t="n"/>
    </row>
    <row r="180">
      <c r="A180" s="49" t="n"/>
      <c r="B180" s="14" t="n"/>
      <c r="C180" s="14" t="n"/>
      <c r="D180" s="14" t="n"/>
      <c r="E180" s="48" t="n"/>
      <c r="F180" s="50">
        <f>IF(A180="","",Settings!$B$4)</f>
        <v/>
      </c>
      <c r="G180" s="48">
        <f>IF(E180="","",ROUND(E180*F180,2))</f>
        <v/>
      </c>
      <c r="H180" s="48">
        <f>IF(E180="","",E180+G180)</f>
        <v/>
      </c>
      <c r="I180" s="14" t="n"/>
      <c r="J180" s="51">
        <f>IF(A180="","",DATE(YEAR(A180),MONTH(A180),1))</f>
        <v/>
      </c>
      <c r="K180" s="14" t="n"/>
    </row>
    <row r="181">
      <c r="A181" s="49" t="n"/>
      <c r="B181" s="14" t="n"/>
      <c r="C181" s="14" t="n"/>
      <c r="D181" s="14" t="n"/>
      <c r="E181" s="48" t="n"/>
      <c r="F181" s="50">
        <f>IF(A181="","",Settings!$B$4)</f>
        <v/>
      </c>
      <c r="G181" s="48">
        <f>IF(E181="","",ROUND(E181*F181,2))</f>
        <v/>
      </c>
      <c r="H181" s="48">
        <f>IF(E181="","",E181+G181)</f>
        <v/>
      </c>
      <c r="I181" s="14" t="n"/>
      <c r="J181" s="51">
        <f>IF(A181="","",DATE(YEAR(A181),MONTH(A181),1))</f>
        <v/>
      </c>
      <c r="K181" s="14" t="n"/>
    </row>
    <row r="182">
      <c r="A182" s="49" t="n"/>
      <c r="B182" s="14" t="n"/>
      <c r="C182" s="14" t="n"/>
      <c r="D182" s="14" t="n"/>
      <c r="E182" s="48" t="n"/>
      <c r="F182" s="50">
        <f>IF(A182="","",Settings!$B$4)</f>
        <v/>
      </c>
      <c r="G182" s="48">
        <f>IF(E182="","",ROUND(E182*F182,2))</f>
        <v/>
      </c>
      <c r="H182" s="48">
        <f>IF(E182="","",E182+G182)</f>
        <v/>
      </c>
      <c r="I182" s="14" t="n"/>
      <c r="J182" s="51">
        <f>IF(A182="","",DATE(YEAR(A182),MONTH(A182),1))</f>
        <v/>
      </c>
      <c r="K182" s="14" t="n"/>
    </row>
    <row r="183">
      <c r="A183" s="49" t="n"/>
      <c r="B183" s="14" t="n"/>
      <c r="C183" s="14" t="n"/>
      <c r="D183" s="14" t="n"/>
      <c r="E183" s="48" t="n"/>
      <c r="F183" s="50">
        <f>IF(A183="","",Settings!$B$4)</f>
        <v/>
      </c>
      <c r="G183" s="48">
        <f>IF(E183="","",ROUND(E183*F183,2))</f>
        <v/>
      </c>
      <c r="H183" s="48">
        <f>IF(E183="","",E183+G183)</f>
        <v/>
      </c>
      <c r="I183" s="14" t="n"/>
      <c r="J183" s="51">
        <f>IF(A183="","",DATE(YEAR(A183),MONTH(A183),1))</f>
        <v/>
      </c>
      <c r="K183" s="14" t="n"/>
    </row>
    <row r="184">
      <c r="A184" s="49" t="n"/>
      <c r="B184" s="14" t="n"/>
      <c r="C184" s="14" t="n"/>
      <c r="D184" s="14" t="n"/>
      <c r="E184" s="48" t="n"/>
      <c r="F184" s="50">
        <f>IF(A184="","",Settings!$B$4)</f>
        <v/>
      </c>
      <c r="G184" s="48">
        <f>IF(E184="","",ROUND(E184*F184,2))</f>
        <v/>
      </c>
      <c r="H184" s="48">
        <f>IF(E184="","",E184+G184)</f>
        <v/>
      </c>
      <c r="I184" s="14" t="n"/>
      <c r="J184" s="51">
        <f>IF(A184="","",DATE(YEAR(A184),MONTH(A184),1))</f>
        <v/>
      </c>
      <c r="K184" s="14" t="n"/>
    </row>
    <row r="185">
      <c r="A185" s="49" t="n"/>
      <c r="B185" s="14" t="n"/>
      <c r="C185" s="14" t="n"/>
      <c r="D185" s="14" t="n"/>
      <c r="E185" s="48" t="n"/>
      <c r="F185" s="50">
        <f>IF(A185="","",Settings!$B$4)</f>
        <v/>
      </c>
      <c r="G185" s="48">
        <f>IF(E185="","",ROUND(E185*F185,2))</f>
        <v/>
      </c>
      <c r="H185" s="48">
        <f>IF(E185="","",E185+G185)</f>
        <v/>
      </c>
      <c r="I185" s="14" t="n"/>
      <c r="J185" s="51">
        <f>IF(A185="","",DATE(YEAR(A185),MONTH(A185),1))</f>
        <v/>
      </c>
      <c r="K185" s="14" t="n"/>
    </row>
    <row r="186">
      <c r="A186" s="49" t="n"/>
      <c r="B186" s="14" t="n"/>
      <c r="C186" s="14" t="n"/>
      <c r="D186" s="14" t="n"/>
      <c r="E186" s="48" t="n"/>
      <c r="F186" s="50">
        <f>IF(A186="","",Settings!$B$4)</f>
        <v/>
      </c>
      <c r="G186" s="48">
        <f>IF(E186="","",ROUND(E186*F186,2))</f>
        <v/>
      </c>
      <c r="H186" s="48">
        <f>IF(E186="","",E186+G186)</f>
        <v/>
      </c>
      <c r="I186" s="14" t="n"/>
      <c r="J186" s="51">
        <f>IF(A186="","",DATE(YEAR(A186),MONTH(A186),1))</f>
        <v/>
      </c>
      <c r="K186" s="14" t="n"/>
    </row>
    <row r="187">
      <c r="A187" s="49" t="n"/>
      <c r="B187" s="14" t="n"/>
      <c r="C187" s="14" t="n"/>
      <c r="D187" s="14" t="n"/>
      <c r="E187" s="48" t="n"/>
      <c r="F187" s="50">
        <f>IF(A187="","",Settings!$B$4)</f>
        <v/>
      </c>
      <c r="G187" s="48">
        <f>IF(E187="","",ROUND(E187*F187,2))</f>
        <v/>
      </c>
      <c r="H187" s="48">
        <f>IF(E187="","",E187+G187)</f>
        <v/>
      </c>
      <c r="I187" s="14" t="n"/>
      <c r="J187" s="51">
        <f>IF(A187="","",DATE(YEAR(A187),MONTH(A187),1))</f>
        <v/>
      </c>
      <c r="K187" s="14" t="n"/>
    </row>
    <row r="188">
      <c r="A188" s="49" t="n"/>
      <c r="B188" s="14" t="n"/>
      <c r="C188" s="14" t="n"/>
      <c r="D188" s="14" t="n"/>
      <c r="E188" s="48" t="n"/>
      <c r="F188" s="50">
        <f>IF(A188="","",Settings!$B$4)</f>
        <v/>
      </c>
      <c r="G188" s="48">
        <f>IF(E188="","",ROUND(E188*F188,2))</f>
        <v/>
      </c>
      <c r="H188" s="48">
        <f>IF(E188="","",E188+G188)</f>
        <v/>
      </c>
      <c r="I188" s="14" t="n"/>
      <c r="J188" s="51">
        <f>IF(A188="","",DATE(YEAR(A188),MONTH(A188),1))</f>
        <v/>
      </c>
      <c r="K188" s="14" t="n"/>
    </row>
    <row r="189">
      <c r="A189" s="49" t="n"/>
      <c r="B189" s="14" t="n"/>
      <c r="C189" s="14" t="n"/>
      <c r="D189" s="14" t="n"/>
      <c r="E189" s="48" t="n"/>
      <c r="F189" s="50">
        <f>IF(A189="","",Settings!$B$4)</f>
        <v/>
      </c>
      <c r="G189" s="48">
        <f>IF(E189="","",ROUND(E189*F189,2))</f>
        <v/>
      </c>
      <c r="H189" s="48">
        <f>IF(E189="","",E189+G189)</f>
        <v/>
      </c>
      <c r="I189" s="14" t="n"/>
      <c r="J189" s="51">
        <f>IF(A189="","",DATE(YEAR(A189),MONTH(A189),1))</f>
        <v/>
      </c>
      <c r="K189" s="14" t="n"/>
    </row>
    <row r="190">
      <c r="A190" s="49" t="n"/>
      <c r="B190" s="14" t="n"/>
      <c r="C190" s="14" t="n"/>
      <c r="D190" s="14" t="n"/>
      <c r="E190" s="48" t="n"/>
      <c r="F190" s="50">
        <f>IF(A190="","",Settings!$B$4)</f>
        <v/>
      </c>
      <c r="G190" s="48">
        <f>IF(E190="","",ROUND(E190*F190,2))</f>
        <v/>
      </c>
      <c r="H190" s="48">
        <f>IF(E190="","",E190+G190)</f>
        <v/>
      </c>
      <c r="I190" s="14" t="n"/>
      <c r="J190" s="51">
        <f>IF(A190="","",DATE(YEAR(A190),MONTH(A190),1))</f>
        <v/>
      </c>
      <c r="K190" s="14" t="n"/>
    </row>
    <row r="191">
      <c r="A191" s="49" t="n"/>
      <c r="B191" s="14" t="n"/>
      <c r="C191" s="14" t="n"/>
      <c r="D191" s="14" t="n"/>
      <c r="E191" s="48" t="n"/>
      <c r="F191" s="50">
        <f>IF(A191="","",Settings!$B$4)</f>
        <v/>
      </c>
      <c r="G191" s="48">
        <f>IF(E191="","",ROUND(E191*F191,2))</f>
        <v/>
      </c>
      <c r="H191" s="48">
        <f>IF(E191="","",E191+G191)</f>
        <v/>
      </c>
      <c r="I191" s="14" t="n"/>
      <c r="J191" s="51">
        <f>IF(A191="","",DATE(YEAR(A191),MONTH(A191),1))</f>
        <v/>
      </c>
      <c r="K191" s="14" t="n"/>
    </row>
    <row r="192">
      <c r="A192" s="49" t="n"/>
      <c r="B192" s="14" t="n"/>
      <c r="C192" s="14" t="n"/>
      <c r="D192" s="14" t="n"/>
      <c r="E192" s="48" t="n"/>
      <c r="F192" s="50">
        <f>IF(A192="","",Settings!$B$4)</f>
        <v/>
      </c>
      <c r="G192" s="48">
        <f>IF(E192="","",ROUND(E192*F192,2))</f>
        <v/>
      </c>
      <c r="H192" s="48">
        <f>IF(E192="","",E192+G192)</f>
        <v/>
      </c>
      <c r="I192" s="14" t="n"/>
      <c r="J192" s="51">
        <f>IF(A192="","",DATE(YEAR(A192),MONTH(A192),1))</f>
        <v/>
      </c>
      <c r="K192" s="14" t="n"/>
    </row>
    <row r="193">
      <c r="A193" s="49" t="n"/>
      <c r="B193" s="14" t="n"/>
      <c r="C193" s="14" t="n"/>
      <c r="D193" s="14" t="n"/>
      <c r="E193" s="48" t="n"/>
      <c r="F193" s="50">
        <f>IF(A193="","",Settings!$B$4)</f>
        <v/>
      </c>
      <c r="G193" s="48">
        <f>IF(E193="","",ROUND(E193*F193,2))</f>
        <v/>
      </c>
      <c r="H193" s="48">
        <f>IF(E193="","",E193+G193)</f>
        <v/>
      </c>
      <c r="I193" s="14" t="n"/>
      <c r="J193" s="51">
        <f>IF(A193="","",DATE(YEAR(A193),MONTH(A193),1))</f>
        <v/>
      </c>
      <c r="K193" s="14" t="n"/>
    </row>
    <row r="194">
      <c r="A194" s="49" t="n"/>
      <c r="B194" s="14" t="n"/>
      <c r="C194" s="14" t="n"/>
      <c r="D194" s="14" t="n"/>
      <c r="E194" s="48" t="n"/>
      <c r="F194" s="50">
        <f>IF(A194="","",Settings!$B$4)</f>
        <v/>
      </c>
      <c r="G194" s="48">
        <f>IF(E194="","",ROUND(E194*F194,2))</f>
        <v/>
      </c>
      <c r="H194" s="48">
        <f>IF(E194="","",E194+G194)</f>
        <v/>
      </c>
      <c r="I194" s="14" t="n"/>
      <c r="J194" s="51">
        <f>IF(A194="","",DATE(YEAR(A194),MONTH(A194),1))</f>
        <v/>
      </c>
      <c r="K194" s="14" t="n"/>
    </row>
    <row r="195">
      <c r="A195" s="49" t="n"/>
      <c r="B195" s="14" t="n"/>
      <c r="C195" s="14" t="n"/>
      <c r="D195" s="14" t="n"/>
      <c r="E195" s="48" t="n"/>
      <c r="F195" s="50">
        <f>IF(A195="","",Settings!$B$4)</f>
        <v/>
      </c>
      <c r="G195" s="48">
        <f>IF(E195="","",ROUND(E195*F195,2))</f>
        <v/>
      </c>
      <c r="H195" s="48">
        <f>IF(E195="","",E195+G195)</f>
        <v/>
      </c>
      <c r="I195" s="14" t="n"/>
      <c r="J195" s="51">
        <f>IF(A195="","",DATE(YEAR(A195),MONTH(A195),1))</f>
        <v/>
      </c>
      <c r="K195" s="14" t="n"/>
    </row>
    <row r="196">
      <c r="A196" s="49" t="n"/>
      <c r="B196" s="14" t="n"/>
      <c r="C196" s="14" t="n"/>
      <c r="D196" s="14" t="n"/>
      <c r="E196" s="48" t="n"/>
      <c r="F196" s="50">
        <f>IF(A196="","",Settings!$B$4)</f>
        <v/>
      </c>
      <c r="G196" s="48">
        <f>IF(E196="","",ROUND(E196*F196,2))</f>
        <v/>
      </c>
      <c r="H196" s="48">
        <f>IF(E196="","",E196+G196)</f>
        <v/>
      </c>
      <c r="I196" s="14" t="n"/>
      <c r="J196" s="51">
        <f>IF(A196="","",DATE(YEAR(A196),MONTH(A196),1))</f>
        <v/>
      </c>
      <c r="K196" s="14" t="n"/>
    </row>
    <row r="197">
      <c r="A197" s="49" t="n"/>
      <c r="B197" s="14" t="n"/>
      <c r="C197" s="14" t="n"/>
      <c r="D197" s="14" t="n"/>
      <c r="E197" s="48" t="n"/>
      <c r="F197" s="50">
        <f>IF(A197="","",Settings!$B$4)</f>
        <v/>
      </c>
      <c r="G197" s="48">
        <f>IF(E197="","",ROUND(E197*F197,2))</f>
        <v/>
      </c>
      <c r="H197" s="48">
        <f>IF(E197="","",E197+G197)</f>
        <v/>
      </c>
      <c r="I197" s="14" t="n"/>
      <c r="J197" s="51">
        <f>IF(A197="","",DATE(YEAR(A197),MONTH(A197),1))</f>
        <v/>
      </c>
      <c r="K197" s="14" t="n"/>
    </row>
    <row r="198">
      <c r="A198" s="49" t="n"/>
      <c r="B198" s="14" t="n"/>
      <c r="C198" s="14" t="n"/>
      <c r="D198" s="14" t="n"/>
      <c r="E198" s="48" t="n"/>
      <c r="F198" s="50">
        <f>IF(A198="","",Settings!$B$4)</f>
        <v/>
      </c>
      <c r="G198" s="48">
        <f>IF(E198="","",ROUND(E198*F198,2))</f>
        <v/>
      </c>
      <c r="H198" s="48">
        <f>IF(E198="","",E198+G198)</f>
        <v/>
      </c>
      <c r="I198" s="14" t="n"/>
      <c r="J198" s="51">
        <f>IF(A198="","",DATE(YEAR(A198),MONTH(A198),1))</f>
        <v/>
      </c>
      <c r="K198" s="14" t="n"/>
    </row>
    <row r="199">
      <c r="A199" s="49" t="n"/>
      <c r="B199" s="14" t="n"/>
      <c r="C199" s="14" t="n"/>
      <c r="D199" s="14" t="n"/>
      <c r="E199" s="48" t="n"/>
      <c r="F199" s="50">
        <f>IF(A199="","",Settings!$B$4)</f>
        <v/>
      </c>
      <c r="G199" s="48">
        <f>IF(E199="","",ROUND(E199*F199,2))</f>
        <v/>
      </c>
      <c r="H199" s="48">
        <f>IF(E199="","",E199+G199)</f>
        <v/>
      </c>
      <c r="I199" s="14" t="n"/>
      <c r="J199" s="51">
        <f>IF(A199="","",DATE(YEAR(A199),MONTH(A199),1))</f>
        <v/>
      </c>
      <c r="K199" s="14" t="n"/>
    </row>
    <row r="200">
      <c r="A200" s="49" t="n"/>
      <c r="B200" s="14" t="n"/>
      <c r="C200" s="14" t="n"/>
      <c r="D200" s="14" t="n"/>
      <c r="E200" s="48" t="n"/>
      <c r="F200" s="50">
        <f>IF(A200="","",Settings!$B$4)</f>
        <v/>
      </c>
      <c r="G200" s="48">
        <f>IF(E200="","",ROUND(E200*F200,2))</f>
        <v/>
      </c>
      <c r="H200" s="48">
        <f>IF(E200="","",E200+G200)</f>
        <v/>
      </c>
      <c r="I200" s="14" t="n"/>
      <c r="J200" s="51">
        <f>IF(A200="","",DATE(YEAR(A200),MONTH(A200),1))</f>
        <v/>
      </c>
      <c r="K200" s="14" t="n"/>
    </row>
    <row r="201">
      <c r="A201" s="49" t="n"/>
      <c r="B201" s="14" t="n"/>
      <c r="C201" s="14" t="n"/>
      <c r="D201" s="14" t="n"/>
      <c r="E201" s="48" t="n"/>
      <c r="F201" s="50">
        <f>IF(A201="","",Settings!$B$4)</f>
        <v/>
      </c>
      <c r="G201" s="48">
        <f>IF(E201="","",ROUND(E201*F201,2))</f>
        <v/>
      </c>
      <c r="H201" s="48">
        <f>IF(E201="","",E201+G201)</f>
        <v/>
      </c>
      <c r="I201" s="14" t="n"/>
      <c r="J201" s="51">
        <f>IF(A201="","",DATE(YEAR(A201),MONTH(A201),1))</f>
        <v/>
      </c>
      <c r="K201" s="14" t="n"/>
    </row>
    <row r="202">
      <c r="A202" s="49" t="n"/>
      <c r="B202" s="14" t="n"/>
      <c r="C202" s="14" t="n"/>
      <c r="D202" s="14" t="n"/>
      <c r="E202" s="48" t="n"/>
      <c r="F202" s="50">
        <f>IF(A202="","",Settings!$B$4)</f>
        <v/>
      </c>
      <c r="G202" s="48">
        <f>IF(E202="","",ROUND(E202*F202,2))</f>
        <v/>
      </c>
      <c r="H202" s="48">
        <f>IF(E202="","",E202+G202)</f>
        <v/>
      </c>
      <c r="I202" s="14" t="n"/>
      <c r="J202" s="51">
        <f>IF(A202="","",DATE(YEAR(A202),MONTH(A202),1))</f>
        <v/>
      </c>
      <c r="K202" s="14" t="n"/>
    </row>
    <row r="203">
      <c r="A203" s="49" t="n"/>
      <c r="B203" s="14" t="n"/>
      <c r="C203" s="14" t="n"/>
      <c r="D203" s="14" t="n"/>
      <c r="E203" s="48" t="n"/>
      <c r="F203" s="50">
        <f>IF(A203="","",Settings!$B$4)</f>
        <v/>
      </c>
      <c r="G203" s="48">
        <f>IF(E203="","",ROUND(E203*F203,2))</f>
        <v/>
      </c>
      <c r="H203" s="48">
        <f>IF(E203="","",E203+G203)</f>
        <v/>
      </c>
      <c r="I203" s="14" t="n"/>
      <c r="J203" s="51">
        <f>IF(A203="","",DATE(YEAR(A203),MONTH(A203),1))</f>
        <v/>
      </c>
      <c r="K203" s="14" t="n"/>
    </row>
  </sheetData>
  <mergeCells count="1">
    <mergeCell ref="A1:K1"/>
  </mergeCells>
  <dataValidations count="1">
    <dataValidation sqref="I4:I203"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277"/>
  <sheetViews>
    <sheetView showGridLines="0" workbookViewId="0">
      <pane ySplit="3" topLeftCell="A4" activePane="bottomLeft" state="frozen"/>
      <selection pane="bottomLeft" activeCell="A1" sqref="A1"/>
    </sheetView>
  </sheetViews>
  <sheetFormatPr baseColWidth="8" defaultRowHeight="15"/>
  <cols>
    <col width="13" customWidth="1" min="1" max="1"/>
    <col width="18" customWidth="1" min="2" max="2"/>
    <col width="22" customWidth="1" min="3" max="3"/>
    <col width="30" customWidth="1" min="4" max="4"/>
    <col width="15" customWidth="1" min="5" max="5"/>
    <col width="11" customWidth="1" min="6" max="6"/>
    <col width="14" customWidth="1" min="7" max="7"/>
    <col width="14" customWidth="1" min="8" max="8"/>
    <col width="13" customWidth="1" min="9" max="9"/>
    <col width="13" customWidth="1" min="10" max="10"/>
    <col width="26" customWidth="1" min="11" max="11"/>
  </cols>
  <sheetData>
    <row r="1" ht="26" customHeight="1">
      <c r="A1" s="57" t="inlineStr">
        <is>
          <t>Revenue Entry by Month - บันทึกรายรับรายรายการครบ 12 เดือน</t>
        </is>
      </c>
    </row>
    <row r="3">
      <c r="A3" s="58" t="inlineStr">
        <is>
          <t>January 2026 / เดือน Jan</t>
        </is>
      </c>
    </row>
    <row r="4">
      <c r="A4" s="59" t="inlineStr">
        <is>
          <t>วันที่</t>
        </is>
      </c>
      <c r="B4" s="59" t="inlineStr">
        <is>
          <t>เลขที่ใบกำกับ</t>
        </is>
      </c>
      <c r="C4" s="59" t="inlineStr">
        <is>
          <t>ลูกค้า</t>
        </is>
      </c>
      <c r="D4" s="59" t="inlineStr">
        <is>
          <t>รายละเอียด</t>
        </is>
      </c>
      <c r="E4" s="59" t="inlineStr">
        <is>
          <t>ยอดก่อน VAT</t>
        </is>
      </c>
      <c r="F4" s="59" t="inlineStr">
        <is>
          <t>อัตรา VAT</t>
        </is>
      </c>
      <c r="G4" s="59" t="inlineStr">
        <is>
          <t>ภาษีขาย</t>
        </is>
      </c>
      <c r="H4" s="59" t="inlineStr">
        <is>
          <t>ยอดรวม</t>
        </is>
      </c>
      <c r="I4" s="59" t="inlineStr">
        <is>
          <t>รับเงินแล้ว?</t>
        </is>
      </c>
      <c r="J4" s="59" t="inlineStr">
        <is>
          <t>เดือน</t>
        </is>
      </c>
      <c r="K4" s="59" t="inlineStr">
        <is>
          <t>หมายเหตุ</t>
        </is>
      </c>
    </row>
    <row r="5">
      <c r="A5" s="60" t="n"/>
      <c r="B5" s="61" t="n"/>
      <c r="C5" s="61" t="n"/>
      <c r="D5" s="61" t="n"/>
      <c r="E5" s="62" t="n"/>
      <c r="F5" s="63">
        <f>IF(A5="","",Settings!$B$4)</f>
        <v/>
      </c>
      <c r="G5" s="62">
        <f>IF(E5="","",ROUND(E5*F5,2))</f>
        <v/>
      </c>
      <c r="H5" s="62">
        <f>IF(E5="","",E5+G5)</f>
        <v/>
      </c>
      <c r="I5" s="61" t="n"/>
      <c r="J5" s="64">
        <f>IF(A5="","",DATE(YEAR(A5),MONTH(A5),1))</f>
        <v/>
      </c>
      <c r="K5" s="61" t="n"/>
    </row>
    <row r="6">
      <c r="A6" s="60" t="n"/>
      <c r="B6" s="61" t="n"/>
      <c r="C6" s="61" t="n"/>
      <c r="D6" s="61" t="n"/>
      <c r="E6" s="62" t="n"/>
      <c r="F6" s="63">
        <f>IF(A6="","",Settings!$B$4)</f>
        <v/>
      </c>
      <c r="G6" s="62">
        <f>IF(E6="","",ROUND(E6*F6,2))</f>
        <v/>
      </c>
      <c r="H6" s="62">
        <f>IF(E6="","",E6+G6)</f>
        <v/>
      </c>
      <c r="I6" s="61" t="n"/>
      <c r="J6" s="64">
        <f>IF(A6="","",DATE(YEAR(A6),MONTH(A6),1))</f>
        <v/>
      </c>
      <c r="K6" s="61" t="n"/>
    </row>
    <row r="7">
      <c r="A7" s="60" t="n"/>
      <c r="B7" s="61" t="n"/>
      <c r="C7" s="61" t="n"/>
      <c r="D7" s="61" t="n"/>
      <c r="E7" s="62" t="n"/>
      <c r="F7" s="63">
        <f>IF(A7="","",Settings!$B$4)</f>
        <v/>
      </c>
      <c r="G7" s="62">
        <f>IF(E7="","",ROUND(E7*F7,2))</f>
        <v/>
      </c>
      <c r="H7" s="62">
        <f>IF(E7="","",E7+G7)</f>
        <v/>
      </c>
      <c r="I7" s="61" t="n"/>
      <c r="J7" s="64">
        <f>IF(A7="","",DATE(YEAR(A7),MONTH(A7),1))</f>
        <v/>
      </c>
      <c r="K7" s="61" t="n"/>
    </row>
    <row r="8">
      <c r="A8" s="60" t="n"/>
      <c r="B8" s="61" t="n"/>
      <c r="C8" s="61" t="n"/>
      <c r="D8" s="61" t="n"/>
      <c r="E8" s="62" t="n"/>
      <c r="F8" s="63">
        <f>IF(A8="","",Settings!$B$4)</f>
        <v/>
      </c>
      <c r="G8" s="62">
        <f>IF(E8="","",ROUND(E8*F8,2))</f>
        <v/>
      </c>
      <c r="H8" s="62">
        <f>IF(E8="","",E8+G8)</f>
        <v/>
      </c>
      <c r="I8" s="61" t="n"/>
      <c r="J8" s="64">
        <f>IF(A8="","",DATE(YEAR(A8),MONTH(A8),1))</f>
        <v/>
      </c>
      <c r="K8" s="61" t="n"/>
    </row>
    <row r="9">
      <c r="A9" s="60" t="n"/>
      <c r="B9" s="61" t="n"/>
      <c r="C9" s="61" t="n"/>
      <c r="D9" s="61" t="n"/>
      <c r="E9" s="62" t="n"/>
      <c r="F9" s="63">
        <f>IF(A9="","",Settings!$B$4)</f>
        <v/>
      </c>
      <c r="G9" s="62">
        <f>IF(E9="","",ROUND(E9*F9,2))</f>
        <v/>
      </c>
      <c r="H9" s="62">
        <f>IF(E9="","",E9+G9)</f>
        <v/>
      </c>
      <c r="I9" s="61" t="n"/>
      <c r="J9" s="64">
        <f>IF(A9="","",DATE(YEAR(A9),MONTH(A9),1))</f>
        <v/>
      </c>
      <c r="K9" s="61" t="n"/>
    </row>
    <row r="10">
      <c r="A10" s="60" t="n"/>
      <c r="B10" s="61" t="n"/>
      <c r="C10" s="61" t="n"/>
      <c r="D10" s="61" t="n"/>
      <c r="E10" s="62" t="n"/>
      <c r="F10" s="63">
        <f>IF(A10="","",Settings!$B$4)</f>
        <v/>
      </c>
      <c r="G10" s="62">
        <f>IF(E10="","",ROUND(E10*F10,2))</f>
        <v/>
      </c>
      <c r="H10" s="62">
        <f>IF(E10="","",E10+G10)</f>
        <v/>
      </c>
      <c r="I10" s="61" t="n"/>
      <c r="J10" s="64">
        <f>IF(A10="","",DATE(YEAR(A10),MONTH(A10),1))</f>
        <v/>
      </c>
      <c r="K10" s="61" t="n"/>
    </row>
    <row r="11">
      <c r="A11" s="60" t="n"/>
      <c r="B11" s="61" t="n"/>
      <c r="C11" s="61" t="n"/>
      <c r="D11" s="61" t="n"/>
      <c r="E11" s="62" t="n"/>
      <c r="F11" s="63">
        <f>IF(A11="","",Settings!$B$4)</f>
        <v/>
      </c>
      <c r="G11" s="62">
        <f>IF(E11="","",ROUND(E11*F11,2))</f>
        <v/>
      </c>
      <c r="H11" s="62">
        <f>IF(E11="","",E11+G11)</f>
        <v/>
      </c>
      <c r="I11" s="61" t="n"/>
      <c r="J11" s="64">
        <f>IF(A11="","",DATE(YEAR(A11),MONTH(A11),1))</f>
        <v/>
      </c>
      <c r="K11" s="61" t="n"/>
    </row>
    <row r="12">
      <c r="A12" s="60" t="n"/>
      <c r="B12" s="61" t="n"/>
      <c r="C12" s="61" t="n"/>
      <c r="D12" s="61" t="n"/>
      <c r="E12" s="62" t="n"/>
      <c r="F12" s="63">
        <f>IF(A12="","",Settings!$B$4)</f>
        <v/>
      </c>
      <c r="G12" s="62">
        <f>IF(E12="","",ROUND(E12*F12,2))</f>
        <v/>
      </c>
      <c r="H12" s="62">
        <f>IF(E12="","",E12+G12)</f>
        <v/>
      </c>
      <c r="I12" s="61" t="n"/>
      <c r="J12" s="64">
        <f>IF(A12="","",DATE(YEAR(A12),MONTH(A12),1))</f>
        <v/>
      </c>
      <c r="K12" s="61" t="n"/>
    </row>
    <row r="13">
      <c r="A13" s="60" t="n"/>
      <c r="B13" s="61" t="n"/>
      <c r="C13" s="61" t="n"/>
      <c r="D13" s="61" t="n"/>
      <c r="E13" s="62" t="n"/>
      <c r="F13" s="63">
        <f>IF(A13="","",Settings!$B$4)</f>
        <v/>
      </c>
      <c r="G13" s="62">
        <f>IF(E13="","",ROUND(E13*F13,2))</f>
        <v/>
      </c>
      <c r="H13" s="62">
        <f>IF(E13="","",E13+G13)</f>
        <v/>
      </c>
      <c r="I13" s="61" t="n"/>
      <c r="J13" s="64">
        <f>IF(A13="","",DATE(YEAR(A13),MONTH(A13),1))</f>
        <v/>
      </c>
      <c r="K13" s="61" t="n"/>
    </row>
    <row r="14">
      <c r="A14" s="60" t="n"/>
      <c r="B14" s="61" t="n"/>
      <c r="C14" s="61" t="n"/>
      <c r="D14" s="61" t="n"/>
      <c r="E14" s="62" t="n"/>
      <c r="F14" s="63">
        <f>IF(A14="","",Settings!$B$4)</f>
        <v/>
      </c>
      <c r="G14" s="62">
        <f>IF(E14="","",ROUND(E14*F14,2))</f>
        <v/>
      </c>
      <c r="H14" s="62">
        <f>IF(E14="","",E14+G14)</f>
        <v/>
      </c>
      <c r="I14" s="61" t="n"/>
      <c r="J14" s="64">
        <f>IF(A14="","",DATE(YEAR(A14),MONTH(A14),1))</f>
        <v/>
      </c>
      <c r="K14" s="61" t="n"/>
    </row>
    <row r="15">
      <c r="A15" s="60" t="n"/>
      <c r="B15" s="61" t="n"/>
      <c r="C15" s="61" t="n"/>
      <c r="D15" s="61" t="n"/>
      <c r="E15" s="62" t="n"/>
      <c r="F15" s="63">
        <f>IF(A15="","",Settings!$B$4)</f>
        <v/>
      </c>
      <c r="G15" s="62">
        <f>IF(E15="","",ROUND(E15*F15,2))</f>
        <v/>
      </c>
      <c r="H15" s="62">
        <f>IF(E15="","",E15+G15)</f>
        <v/>
      </c>
      <c r="I15" s="61" t="n"/>
      <c r="J15" s="64">
        <f>IF(A15="","",DATE(YEAR(A15),MONTH(A15),1))</f>
        <v/>
      </c>
      <c r="K15" s="61" t="n"/>
    </row>
    <row r="16">
      <c r="A16" s="60" t="n"/>
      <c r="B16" s="61" t="n"/>
      <c r="C16" s="61" t="n"/>
      <c r="D16" s="61" t="n"/>
      <c r="E16" s="62" t="n"/>
      <c r="F16" s="63">
        <f>IF(A16="","",Settings!$B$4)</f>
        <v/>
      </c>
      <c r="G16" s="62">
        <f>IF(E16="","",ROUND(E16*F16,2))</f>
        <v/>
      </c>
      <c r="H16" s="62">
        <f>IF(E16="","",E16+G16)</f>
        <v/>
      </c>
      <c r="I16" s="61" t="n"/>
      <c r="J16" s="64">
        <f>IF(A16="","",DATE(YEAR(A16),MONTH(A16),1))</f>
        <v/>
      </c>
      <c r="K16" s="61" t="n"/>
    </row>
    <row r="17">
      <c r="A17" s="60" t="n"/>
      <c r="B17" s="61" t="n"/>
      <c r="C17" s="61" t="n"/>
      <c r="D17" s="61" t="n"/>
      <c r="E17" s="62" t="n"/>
      <c r="F17" s="63">
        <f>IF(A17="","",Settings!$B$4)</f>
        <v/>
      </c>
      <c r="G17" s="62">
        <f>IF(E17="","",ROUND(E17*F17,2))</f>
        <v/>
      </c>
      <c r="H17" s="62">
        <f>IF(E17="","",E17+G17)</f>
        <v/>
      </c>
      <c r="I17" s="61" t="n"/>
      <c r="J17" s="64">
        <f>IF(A17="","",DATE(YEAR(A17),MONTH(A17),1))</f>
        <v/>
      </c>
      <c r="K17" s="61" t="n"/>
    </row>
    <row r="18">
      <c r="A18" s="60" t="n"/>
      <c r="B18" s="61" t="n"/>
      <c r="C18" s="61" t="n"/>
      <c r="D18" s="61" t="n"/>
      <c r="E18" s="62" t="n"/>
      <c r="F18" s="63">
        <f>IF(A18="","",Settings!$B$4)</f>
        <v/>
      </c>
      <c r="G18" s="62">
        <f>IF(E18="","",ROUND(E18*F18,2))</f>
        <v/>
      </c>
      <c r="H18" s="62">
        <f>IF(E18="","",E18+G18)</f>
        <v/>
      </c>
      <c r="I18" s="61" t="n"/>
      <c r="J18" s="64">
        <f>IF(A18="","",DATE(YEAR(A18),MONTH(A18),1))</f>
        <v/>
      </c>
      <c r="K18" s="61" t="n"/>
    </row>
    <row r="19">
      <c r="A19" s="60" t="n"/>
      <c r="B19" s="61" t="n"/>
      <c r="C19" s="61" t="n"/>
      <c r="D19" s="61" t="n"/>
      <c r="E19" s="62" t="n"/>
      <c r="F19" s="63">
        <f>IF(A19="","",Settings!$B$4)</f>
        <v/>
      </c>
      <c r="G19" s="62">
        <f>IF(E19="","",ROUND(E19*F19,2))</f>
        <v/>
      </c>
      <c r="H19" s="62">
        <f>IF(E19="","",E19+G19)</f>
        <v/>
      </c>
      <c r="I19" s="61" t="n"/>
      <c r="J19" s="64">
        <f>IF(A19="","",DATE(YEAR(A19),MONTH(A19),1))</f>
        <v/>
      </c>
      <c r="K19" s="61" t="n"/>
    </row>
    <row r="20">
      <c r="A20" s="60" t="n"/>
      <c r="B20" s="61" t="n"/>
      <c r="C20" s="61" t="n"/>
      <c r="D20" s="61" t="n"/>
      <c r="E20" s="62" t="n"/>
      <c r="F20" s="63">
        <f>IF(A20="","",Settings!$B$4)</f>
        <v/>
      </c>
      <c r="G20" s="62">
        <f>IF(E20="","",ROUND(E20*F20,2))</f>
        <v/>
      </c>
      <c r="H20" s="62">
        <f>IF(E20="","",E20+G20)</f>
        <v/>
      </c>
      <c r="I20" s="61" t="n"/>
      <c r="J20" s="64">
        <f>IF(A20="","",DATE(YEAR(A20),MONTH(A20),1))</f>
        <v/>
      </c>
      <c r="K20" s="61" t="n"/>
    </row>
    <row r="21">
      <c r="A21" s="60" t="n"/>
      <c r="B21" s="61" t="n"/>
      <c r="C21" s="61" t="n"/>
      <c r="D21" s="61" t="n"/>
      <c r="E21" s="62" t="n"/>
      <c r="F21" s="63">
        <f>IF(A21="","",Settings!$B$4)</f>
        <v/>
      </c>
      <c r="G21" s="62">
        <f>IF(E21="","",ROUND(E21*F21,2))</f>
        <v/>
      </c>
      <c r="H21" s="62">
        <f>IF(E21="","",E21+G21)</f>
        <v/>
      </c>
      <c r="I21" s="61" t="n"/>
      <c r="J21" s="64">
        <f>IF(A21="","",DATE(YEAR(A21),MONTH(A21),1))</f>
        <v/>
      </c>
      <c r="K21" s="61" t="n"/>
    </row>
    <row r="22">
      <c r="A22" s="60" t="n"/>
      <c r="B22" s="61" t="n"/>
      <c r="C22" s="61" t="n"/>
      <c r="D22" s="61" t="n"/>
      <c r="E22" s="62" t="n"/>
      <c r="F22" s="63">
        <f>IF(A22="","",Settings!$B$4)</f>
        <v/>
      </c>
      <c r="G22" s="62">
        <f>IF(E22="","",ROUND(E22*F22,2))</f>
        <v/>
      </c>
      <c r="H22" s="62">
        <f>IF(E22="","",E22+G22)</f>
        <v/>
      </c>
      <c r="I22" s="61" t="n"/>
      <c r="J22" s="64">
        <f>IF(A22="","",DATE(YEAR(A22),MONTH(A22),1))</f>
        <v/>
      </c>
      <c r="K22" s="61" t="n"/>
    </row>
    <row r="23">
      <c r="A23" s="60" t="n"/>
      <c r="B23" s="61" t="n"/>
      <c r="C23" s="61" t="n"/>
      <c r="D23" s="61" t="n"/>
      <c r="E23" s="62" t="n"/>
      <c r="F23" s="63">
        <f>IF(A23="","",Settings!$B$4)</f>
        <v/>
      </c>
      <c r="G23" s="62">
        <f>IF(E23="","",ROUND(E23*F23,2))</f>
        <v/>
      </c>
      <c r="H23" s="62">
        <f>IF(E23="","",E23+G23)</f>
        <v/>
      </c>
      <c r="I23" s="61" t="n"/>
      <c r="J23" s="64">
        <f>IF(A23="","",DATE(YEAR(A23),MONTH(A23),1))</f>
        <v/>
      </c>
      <c r="K23" s="61" t="n"/>
    </row>
    <row r="24">
      <c r="A24" s="60" t="n"/>
      <c r="B24" s="61" t="n"/>
      <c r="C24" s="61" t="n"/>
      <c r="D24" s="61" t="n"/>
      <c r="E24" s="62" t="n"/>
      <c r="F24" s="63">
        <f>IF(A24="","",Settings!$B$4)</f>
        <v/>
      </c>
      <c r="G24" s="62">
        <f>IF(E24="","",ROUND(E24*F24,2))</f>
        <v/>
      </c>
      <c r="H24" s="62">
        <f>IF(E24="","",E24+G24)</f>
        <v/>
      </c>
      <c r="I24" s="61" t="n"/>
      <c r="J24" s="64">
        <f>IF(A24="","",DATE(YEAR(A24),MONTH(A24),1))</f>
        <v/>
      </c>
      <c r="K24" s="61" t="n"/>
    </row>
    <row r="26">
      <c r="A26" s="58" t="inlineStr">
        <is>
          <t>February 2026 / เดือน Feb</t>
        </is>
      </c>
    </row>
    <row r="27">
      <c r="A27" s="59" t="inlineStr">
        <is>
          <t>วันที่</t>
        </is>
      </c>
      <c r="B27" s="59" t="inlineStr">
        <is>
          <t>เลขที่ใบกำกับ</t>
        </is>
      </c>
      <c r="C27" s="59" t="inlineStr">
        <is>
          <t>ลูกค้า</t>
        </is>
      </c>
      <c r="D27" s="59" t="inlineStr">
        <is>
          <t>รายละเอียด</t>
        </is>
      </c>
      <c r="E27" s="59" t="inlineStr">
        <is>
          <t>ยอดก่อน VAT</t>
        </is>
      </c>
      <c r="F27" s="59" t="inlineStr">
        <is>
          <t>อัตรา VAT</t>
        </is>
      </c>
      <c r="G27" s="59" t="inlineStr">
        <is>
          <t>ภาษีขาย</t>
        </is>
      </c>
      <c r="H27" s="59" t="inlineStr">
        <is>
          <t>ยอดรวม</t>
        </is>
      </c>
      <c r="I27" s="59" t="inlineStr">
        <is>
          <t>รับเงินแล้ว?</t>
        </is>
      </c>
      <c r="J27" s="59" t="inlineStr">
        <is>
          <t>เดือน</t>
        </is>
      </c>
      <c r="K27" s="59" t="inlineStr">
        <is>
          <t>หมายเหตุ</t>
        </is>
      </c>
    </row>
    <row r="28">
      <c r="A28" s="60" t="n"/>
      <c r="B28" s="61" t="n"/>
      <c r="C28" s="61" t="n"/>
      <c r="D28" s="61" t="n"/>
      <c r="E28" s="62" t="n"/>
      <c r="F28" s="63">
        <f>IF(A28="","",Settings!$B$4)</f>
        <v/>
      </c>
      <c r="G28" s="62">
        <f>IF(E28="","",ROUND(E28*F28,2))</f>
        <v/>
      </c>
      <c r="H28" s="62">
        <f>IF(E28="","",E28+G28)</f>
        <v/>
      </c>
      <c r="I28" s="61" t="n"/>
      <c r="J28" s="64">
        <f>IF(A28="","",DATE(YEAR(A28),MONTH(A28),1))</f>
        <v/>
      </c>
      <c r="K28" s="61" t="n"/>
    </row>
    <row r="29">
      <c r="A29" s="60" t="n"/>
      <c r="B29" s="61" t="n"/>
      <c r="C29" s="61" t="n"/>
      <c r="D29" s="61" t="n"/>
      <c r="E29" s="62" t="n"/>
      <c r="F29" s="63">
        <f>IF(A29="","",Settings!$B$4)</f>
        <v/>
      </c>
      <c r="G29" s="62">
        <f>IF(E29="","",ROUND(E29*F29,2))</f>
        <v/>
      </c>
      <c r="H29" s="62">
        <f>IF(E29="","",E29+G29)</f>
        <v/>
      </c>
      <c r="I29" s="61" t="n"/>
      <c r="J29" s="64">
        <f>IF(A29="","",DATE(YEAR(A29),MONTH(A29),1))</f>
        <v/>
      </c>
      <c r="K29" s="61" t="n"/>
    </row>
    <row r="30">
      <c r="A30" s="60" t="n"/>
      <c r="B30" s="61" t="n"/>
      <c r="C30" s="61" t="n"/>
      <c r="D30" s="61" t="n"/>
      <c r="E30" s="62" t="n"/>
      <c r="F30" s="63">
        <f>IF(A30="","",Settings!$B$4)</f>
        <v/>
      </c>
      <c r="G30" s="62">
        <f>IF(E30="","",ROUND(E30*F30,2))</f>
        <v/>
      </c>
      <c r="H30" s="62">
        <f>IF(E30="","",E30+G30)</f>
        <v/>
      </c>
      <c r="I30" s="61" t="n"/>
      <c r="J30" s="64">
        <f>IF(A30="","",DATE(YEAR(A30),MONTH(A30),1))</f>
        <v/>
      </c>
      <c r="K30" s="61" t="n"/>
    </row>
    <row r="31">
      <c r="A31" s="60" t="n"/>
      <c r="B31" s="61" t="n"/>
      <c r="C31" s="61" t="n"/>
      <c r="D31" s="61" t="n"/>
      <c r="E31" s="62" t="n"/>
      <c r="F31" s="63">
        <f>IF(A31="","",Settings!$B$4)</f>
        <v/>
      </c>
      <c r="G31" s="62">
        <f>IF(E31="","",ROUND(E31*F31,2))</f>
        <v/>
      </c>
      <c r="H31" s="62">
        <f>IF(E31="","",E31+G31)</f>
        <v/>
      </c>
      <c r="I31" s="61" t="n"/>
      <c r="J31" s="64">
        <f>IF(A31="","",DATE(YEAR(A31),MONTH(A31),1))</f>
        <v/>
      </c>
      <c r="K31" s="61" t="n"/>
    </row>
    <row r="32">
      <c r="A32" s="60" t="n"/>
      <c r="B32" s="61" t="n"/>
      <c r="C32" s="61" t="n"/>
      <c r="D32" s="61" t="n"/>
      <c r="E32" s="62" t="n"/>
      <c r="F32" s="63">
        <f>IF(A32="","",Settings!$B$4)</f>
        <v/>
      </c>
      <c r="G32" s="62">
        <f>IF(E32="","",ROUND(E32*F32,2))</f>
        <v/>
      </c>
      <c r="H32" s="62">
        <f>IF(E32="","",E32+G32)</f>
        <v/>
      </c>
      <c r="I32" s="61" t="n"/>
      <c r="J32" s="64">
        <f>IF(A32="","",DATE(YEAR(A32),MONTH(A32),1))</f>
        <v/>
      </c>
      <c r="K32" s="61" t="n"/>
    </row>
    <row r="33">
      <c r="A33" s="60" t="n"/>
      <c r="B33" s="61" t="n"/>
      <c r="C33" s="61" t="n"/>
      <c r="D33" s="61" t="n"/>
      <c r="E33" s="62" t="n"/>
      <c r="F33" s="63">
        <f>IF(A33="","",Settings!$B$4)</f>
        <v/>
      </c>
      <c r="G33" s="62">
        <f>IF(E33="","",ROUND(E33*F33,2))</f>
        <v/>
      </c>
      <c r="H33" s="62">
        <f>IF(E33="","",E33+G33)</f>
        <v/>
      </c>
      <c r="I33" s="61" t="n"/>
      <c r="J33" s="64">
        <f>IF(A33="","",DATE(YEAR(A33),MONTH(A33),1))</f>
        <v/>
      </c>
      <c r="K33" s="61" t="n"/>
    </row>
    <row r="34">
      <c r="A34" s="60" t="n"/>
      <c r="B34" s="61" t="n"/>
      <c r="C34" s="61" t="n"/>
      <c r="D34" s="61" t="n"/>
      <c r="E34" s="62" t="n"/>
      <c r="F34" s="63">
        <f>IF(A34="","",Settings!$B$4)</f>
        <v/>
      </c>
      <c r="G34" s="62">
        <f>IF(E34="","",ROUND(E34*F34,2))</f>
        <v/>
      </c>
      <c r="H34" s="62">
        <f>IF(E34="","",E34+G34)</f>
        <v/>
      </c>
      <c r="I34" s="61" t="n"/>
      <c r="J34" s="64">
        <f>IF(A34="","",DATE(YEAR(A34),MONTH(A34),1))</f>
        <v/>
      </c>
      <c r="K34" s="61" t="n"/>
    </row>
    <row r="35">
      <c r="A35" s="60" t="n"/>
      <c r="B35" s="61" t="n"/>
      <c r="C35" s="61" t="n"/>
      <c r="D35" s="61" t="n"/>
      <c r="E35" s="62" t="n"/>
      <c r="F35" s="63">
        <f>IF(A35="","",Settings!$B$4)</f>
        <v/>
      </c>
      <c r="G35" s="62">
        <f>IF(E35="","",ROUND(E35*F35,2))</f>
        <v/>
      </c>
      <c r="H35" s="62">
        <f>IF(E35="","",E35+G35)</f>
        <v/>
      </c>
      <c r="I35" s="61" t="n"/>
      <c r="J35" s="64">
        <f>IF(A35="","",DATE(YEAR(A35),MONTH(A35),1))</f>
        <v/>
      </c>
      <c r="K35" s="61" t="n"/>
    </row>
    <row r="36">
      <c r="A36" s="60" t="n"/>
      <c r="B36" s="61" t="n"/>
      <c r="C36" s="61" t="n"/>
      <c r="D36" s="61" t="n"/>
      <c r="E36" s="62" t="n"/>
      <c r="F36" s="63">
        <f>IF(A36="","",Settings!$B$4)</f>
        <v/>
      </c>
      <c r="G36" s="62">
        <f>IF(E36="","",ROUND(E36*F36,2))</f>
        <v/>
      </c>
      <c r="H36" s="62">
        <f>IF(E36="","",E36+G36)</f>
        <v/>
      </c>
      <c r="I36" s="61" t="n"/>
      <c r="J36" s="64">
        <f>IF(A36="","",DATE(YEAR(A36),MONTH(A36),1))</f>
        <v/>
      </c>
      <c r="K36" s="61" t="n"/>
    </row>
    <row r="37">
      <c r="A37" s="60" t="n"/>
      <c r="B37" s="61" t="n"/>
      <c r="C37" s="61" t="n"/>
      <c r="D37" s="61" t="n"/>
      <c r="E37" s="62" t="n"/>
      <c r="F37" s="63">
        <f>IF(A37="","",Settings!$B$4)</f>
        <v/>
      </c>
      <c r="G37" s="62">
        <f>IF(E37="","",ROUND(E37*F37,2))</f>
        <v/>
      </c>
      <c r="H37" s="62">
        <f>IF(E37="","",E37+G37)</f>
        <v/>
      </c>
      <c r="I37" s="61" t="n"/>
      <c r="J37" s="64">
        <f>IF(A37="","",DATE(YEAR(A37),MONTH(A37),1))</f>
        <v/>
      </c>
      <c r="K37" s="61" t="n"/>
    </row>
    <row r="38">
      <c r="A38" s="60" t="n"/>
      <c r="B38" s="61" t="n"/>
      <c r="C38" s="61" t="n"/>
      <c r="D38" s="61" t="n"/>
      <c r="E38" s="62" t="n"/>
      <c r="F38" s="63">
        <f>IF(A38="","",Settings!$B$4)</f>
        <v/>
      </c>
      <c r="G38" s="62">
        <f>IF(E38="","",ROUND(E38*F38,2))</f>
        <v/>
      </c>
      <c r="H38" s="62">
        <f>IF(E38="","",E38+G38)</f>
        <v/>
      </c>
      <c r="I38" s="61" t="n"/>
      <c r="J38" s="64">
        <f>IF(A38="","",DATE(YEAR(A38),MONTH(A38),1))</f>
        <v/>
      </c>
      <c r="K38" s="61" t="n"/>
    </row>
    <row r="39">
      <c r="A39" s="60" t="n"/>
      <c r="B39" s="61" t="n"/>
      <c r="C39" s="61" t="n"/>
      <c r="D39" s="61" t="n"/>
      <c r="E39" s="62" t="n"/>
      <c r="F39" s="63">
        <f>IF(A39="","",Settings!$B$4)</f>
        <v/>
      </c>
      <c r="G39" s="62">
        <f>IF(E39="","",ROUND(E39*F39,2))</f>
        <v/>
      </c>
      <c r="H39" s="62">
        <f>IF(E39="","",E39+G39)</f>
        <v/>
      </c>
      <c r="I39" s="61" t="n"/>
      <c r="J39" s="64">
        <f>IF(A39="","",DATE(YEAR(A39),MONTH(A39),1))</f>
        <v/>
      </c>
      <c r="K39" s="61" t="n"/>
    </row>
    <row r="40">
      <c r="A40" s="60" t="n"/>
      <c r="B40" s="61" t="n"/>
      <c r="C40" s="61" t="n"/>
      <c r="D40" s="61" t="n"/>
      <c r="E40" s="62" t="n"/>
      <c r="F40" s="63">
        <f>IF(A40="","",Settings!$B$4)</f>
        <v/>
      </c>
      <c r="G40" s="62">
        <f>IF(E40="","",ROUND(E40*F40,2))</f>
        <v/>
      </c>
      <c r="H40" s="62">
        <f>IF(E40="","",E40+G40)</f>
        <v/>
      </c>
      <c r="I40" s="61" t="n"/>
      <c r="J40" s="64">
        <f>IF(A40="","",DATE(YEAR(A40),MONTH(A40),1))</f>
        <v/>
      </c>
      <c r="K40" s="61" t="n"/>
    </row>
    <row r="41">
      <c r="A41" s="60" t="n"/>
      <c r="B41" s="61" t="n"/>
      <c r="C41" s="61" t="n"/>
      <c r="D41" s="61" t="n"/>
      <c r="E41" s="62" t="n"/>
      <c r="F41" s="63">
        <f>IF(A41="","",Settings!$B$4)</f>
        <v/>
      </c>
      <c r="G41" s="62">
        <f>IF(E41="","",ROUND(E41*F41,2))</f>
        <v/>
      </c>
      <c r="H41" s="62">
        <f>IF(E41="","",E41+G41)</f>
        <v/>
      </c>
      <c r="I41" s="61" t="n"/>
      <c r="J41" s="64">
        <f>IF(A41="","",DATE(YEAR(A41),MONTH(A41),1))</f>
        <v/>
      </c>
      <c r="K41" s="61" t="n"/>
    </row>
    <row r="42">
      <c r="A42" s="60" t="n"/>
      <c r="B42" s="61" t="n"/>
      <c r="C42" s="61" t="n"/>
      <c r="D42" s="61" t="n"/>
      <c r="E42" s="62" t="n"/>
      <c r="F42" s="63">
        <f>IF(A42="","",Settings!$B$4)</f>
        <v/>
      </c>
      <c r="G42" s="62">
        <f>IF(E42="","",ROUND(E42*F42,2))</f>
        <v/>
      </c>
      <c r="H42" s="62">
        <f>IF(E42="","",E42+G42)</f>
        <v/>
      </c>
      <c r="I42" s="61" t="n"/>
      <c r="J42" s="64">
        <f>IF(A42="","",DATE(YEAR(A42),MONTH(A42),1))</f>
        <v/>
      </c>
      <c r="K42" s="61" t="n"/>
    </row>
    <row r="43">
      <c r="A43" s="60" t="n"/>
      <c r="B43" s="61" t="n"/>
      <c r="C43" s="61" t="n"/>
      <c r="D43" s="61" t="n"/>
      <c r="E43" s="62" t="n"/>
      <c r="F43" s="63">
        <f>IF(A43="","",Settings!$B$4)</f>
        <v/>
      </c>
      <c r="G43" s="62">
        <f>IF(E43="","",ROUND(E43*F43,2))</f>
        <v/>
      </c>
      <c r="H43" s="62">
        <f>IF(E43="","",E43+G43)</f>
        <v/>
      </c>
      <c r="I43" s="61" t="n"/>
      <c r="J43" s="64">
        <f>IF(A43="","",DATE(YEAR(A43),MONTH(A43),1))</f>
        <v/>
      </c>
      <c r="K43" s="61" t="n"/>
    </row>
    <row r="44">
      <c r="A44" s="60" t="n"/>
      <c r="B44" s="61" t="n"/>
      <c r="C44" s="61" t="n"/>
      <c r="D44" s="61" t="n"/>
      <c r="E44" s="62" t="n"/>
      <c r="F44" s="63">
        <f>IF(A44="","",Settings!$B$4)</f>
        <v/>
      </c>
      <c r="G44" s="62">
        <f>IF(E44="","",ROUND(E44*F44,2))</f>
        <v/>
      </c>
      <c r="H44" s="62">
        <f>IF(E44="","",E44+G44)</f>
        <v/>
      </c>
      <c r="I44" s="61" t="n"/>
      <c r="J44" s="64">
        <f>IF(A44="","",DATE(YEAR(A44),MONTH(A44),1))</f>
        <v/>
      </c>
      <c r="K44" s="61" t="n"/>
    </row>
    <row r="45">
      <c r="A45" s="60" t="n"/>
      <c r="B45" s="61" t="n"/>
      <c r="C45" s="61" t="n"/>
      <c r="D45" s="61" t="n"/>
      <c r="E45" s="62" t="n"/>
      <c r="F45" s="63">
        <f>IF(A45="","",Settings!$B$4)</f>
        <v/>
      </c>
      <c r="G45" s="62">
        <f>IF(E45="","",ROUND(E45*F45,2))</f>
        <v/>
      </c>
      <c r="H45" s="62">
        <f>IF(E45="","",E45+G45)</f>
        <v/>
      </c>
      <c r="I45" s="61" t="n"/>
      <c r="J45" s="64">
        <f>IF(A45="","",DATE(YEAR(A45),MONTH(A45),1))</f>
        <v/>
      </c>
      <c r="K45" s="61" t="n"/>
    </row>
    <row r="46">
      <c r="A46" s="60" t="n"/>
      <c r="B46" s="61" t="n"/>
      <c r="C46" s="61" t="n"/>
      <c r="D46" s="61" t="n"/>
      <c r="E46" s="62" t="n"/>
      <c r="F46" s="63">
        <f>IF(A46="","",Settings!$B$4)</f>
        <v/>
      </c>
      <c r="G46" s="62">
        <f>IF(E46="","",ROUND(E46*F46,2))</f>
        <v/>
      </c>
      <c r="H46" s="62">
        <f>IF(E46="","",E46+G46)</f>
        <v/>
      </c>
      <c r="I46" s="61" t="n"/>
      <c r="J46" s="64">
        <f>IF(A46="","",DATE(YEAR(A46),MONTH(A46),1))</f>
        <v/>
      </c>
      <c r="K46" s="61" t="n"/>
    </row>
    <row r="47">
      <c r="A47" s="60" t="n"/>
      <c r="B47" s="61" t="n"/>
      <c r="C47" s="61" t="n"/>
      <c r="D47" s="61" t="n"/>
      <c r="E47" s="62" t="n"/>
      <c r="F47" s="63">
        <f>IF(A47="","",Settings!$B$4)</f>
        <v/>
      </c>
      <c r="G47" s="62">
        <f>IF(E47="","",ROUND(E47*F47,2))</f>
        <v/>
      </c>
      <c r="H47" s="62">
        <f>IF(E47="","",E47+G47)</f>
        <v/>
      </c>
      <c r="I47" s="61" t="n"/>
      <c r="J47" s="64">
        <f>IF(A47="","",DATE(YEAR(A47),MONTH(A47),1))</f>
        <v/>
      </c>
      <c r="K47" s="61" t="n"/>
    </row>
    <row r="49">
      <c r="A49" s="58" t="inlineStr">
        <is>
          <t>March 2026 / เดือน Mar</t>
        </is>
      </c>
    </row>
    <row r="50">
      <c r="A50" s="59" t="inlineStr">
        <is>
          <t>วันที่</t>
        </is>
      </c>
      <c r="B50" s="59" t="inlineStr">
        <is>
          <t>เลขที่ใบกำกับ</t>
        </is>
      </c>
      <c r="C50" s="59" t="inlineStr">
        <is>
          <t>ลูกค้า</t>
        </is>
      </c>
      <c r="D50" s="59" t="inlineStr">
        <is>
          <t>รายละเอียด</t>
        </is>
      </c>
      <c r="E50" s="59" t="inlineStr">
        <is>
          <t>ยอดก่อน VAT</t>
        </is>
      </c>
      <c r="F50" s="59" t="inlineStr">
        <is>
          <t>อัตรา VAT</t>
        </is>
      </c>
      <c r="G50" s="59" t="inlineStr">
        <is>
          <t>ภาษีขาย</t>
        </is>
      </c>
      <c r="H50" s="59" t="inlineStr">
        <is>
          <t>ยอดรวม</t>
        </is>
      </c>
      <c r="I50" s="59" t="inlineStr">
        <is>
          <t>รับเงินแล้ว?</t>
        </is>
      </c>
      <c r="J50" s="59" t="inlineStr">
        <is>
          <t>เดือน</t>
        </is>
      </c>
      <c r="K50" s="59" t="inlineStr">
        <is>
          <t>หมายเหตุ</t>
        </is>
      </c>
    </row>
    <row r="51">
      <c r="A51" s="60" t="n"/>
      <c r="B51" s="61" t="n"/>
      <c r="C51" s="61" t="n"/>
      <c r="D51" s="61" t="n"/>
      <c r="E51" s="62" t="n"/>
      <c r="F51" s="63">
        <f>IF(A51="","",Settings!$B$4)</f>
        <v/>
      </c>
      <c r="G51" s="62">
        <f>IF(E51="","",ROUND(E51*F51,2))</f>
        <v/>
      </c>
      <c r="H51" s="62">
        <f>IF(E51="","",E51+G51)</f>
        <v/>
      </c>
      <c r="I51" s="61" t="n"/>
      <c r="J51" s="64">
        <f>IF(A51="","",DATE(YEAR(A51),MONTH(A51),1))</f>
        <v/>
      </c>
      <c r="K51" s="61" t="n"/>
    </row>
    <row r="52">
      <c r="A52" s="60" t="n"/>
      <c r="B52" s="61" t="n"/>
      <c r="C52" s="61" t="n"/>
      <c r="D52" s="61" t="n"/>
      <c r="E52" s="62" t="n"/>
      <c r="F52" s="63">
        <f>IF(A52="","",Settings!$B$4)</f>
        <v/>
      </c>
      <c r="G52" s="62">
        <f>IF(E52="","",ROUND(E52*F52,2))</f>
        <v/>
      </c>
      <c r="H52" s="62">
        <f>IF(E52="","",E52+G52)</f>
        <v/>
      </c>
      <c r="I52" s="61" t="n"/>
      <c r="J52" s="64">
        <f>IF(A52="","",DATE(YEAR(A52),MONTH(A52),1))</f>
        <v/>
      </c>
      <c r="K52" s="61" t="n"/>
    </row>
    <row r="53">
      <c r="A53" s="60" t="n"/>
      <c r="B53" s="61" t="n"/>
      <c r="C53" s="61" t="n"/>
      <c r="D53" s="61" t="n"/>
      <c r="E53" s="62" t="n"/>
      <c r="F53" s="63">
        <f>IF(A53="","",Settings!$B$4)</f>
        <v/>
      </c>
      <c r="G53" s="62">
        <f>IF(E53="","",ROUND(E53*F53,2))</f>
        <v/>
      </c>
      <c r="H53" s="62">
        <f>IF(E53="","",E53+G53)</f>
        <v/>
      </c>
      <c r="I53" s="61" t="n"/>
      <c r="J53" s="64">
        <f>IF(A53="","",DATE(YEAR(A53),MONTH(A53),1))</f>
        <v/>
      </c>
      <c r="K53" s="61" t="n"/>
    </row>
    <row r="54">
      <c r="A54" s="60" t="n"/>
      <c r="B54" s="61" t="n"/>
      <c r="C54" s="61" t="n"/>
      <c r="D54" s="61" t="n"/>
      <c r="E54" s="62" t="n"/>
      <c r="F54" s="63">
        <f>IF(A54="","",Settings!$B$4)</f>
        <v/>
      </c>
      <c r="G54" s="62">
        <f>IF(E54="","",ROUND(E54*F54,2))</f>
        <v/>
      </c>
      <c r="H54" s="62">
        <f>IF(E54="","",E54+G54)</f>
        <v/>
      </c>
      <c r="I54" s="61" t="n"/>
      <c r="J54" s="64">
        <f>IF(A54="","",DATE(YEAR(A54),MONTH(A54),1))</f>
        <v/>
      </c>
      <c r="K54" s="61" t="n"/>
    </row>
    <row r="55">
      <c r="A55" s="60" t="n"/>
      <c r="B55" s="61" t="n"/>
      <c r="C55" s="61" t="n"/>
      <c r="D55" s="61" t="n"/>
      <c r="E55" s="62" t="n"/>
      <c r="F55" s="63">
        <f>IF(A55="","",Settings!$B$4)</f>
        <v/>
      </c>
      <c r="G55" s="62">
        <f>IF(E55="","",ROUND(E55*F55,2))</f>
        <v/>
      </c>
      <c r="H55" s="62">
        <f>IF(E55="","",E55+G55)</f>
        <v/>
      </c>
      <c r="I55" s="61" t="n"/>
      <c r="J55" s="64">
        <f>IF(A55="","",DATE(YEAR(A55),MONTH(A55),1))</f>
        <v/>
      </c>
      <c r="K55" s="61" t="n"/>
    </row>
    <row r="56">
      <c r="A56" s="60" t="n"/>
      <c r="B56" s="61" t="n"/>
      <c r="C56" s="61" t="n"/>
      <c r="D56" s="61" t="n"/>
      <c r="E56" s="62" t="n"/>
      <c r="F56" s="63">
        <f>IF(A56="","",Settings!$B$4)</f>
        <v/>
      </c>
      <c r="G56" s="62">
        <f>IF(E56="","",ROUND(E56*F56,2))</f>
        <v/>
      </c>
      <c r="H56" s="62">
        <f>IF(E56="","",E56+G56)</f>
        <v/>
      </c>
      <c r="I56" s="61" t="n"/>
      <c r="J56" s="64">
        <f>IF(A56="","",DATE(YEAR(A56),MONTH(A56),1))</f>
        <v/>
      </c>
      <c r="K56" s="61" t="n"/>
    </row>
    <row r="57">
      <c r="A57" s="60" t="n"/>
      <c r="B57" s="61" t="n"/>
      <c r="C57" s="61" t="n"/>
      <c r="D57" s="61" t="n"/>
      <c r="E57" s="62" t="n"/>
      <c r="F57" s="63">
        <f>IF(A57="","",Settings!$B$4)</f>
        <v/>
      </c>
      <c r="G57" s="62">
        <f>IF(E57="","",ROUND(E57*F57,2))</f>
        <v/>
      </c>
      <c r="H57" s="62">
        <f>IF(E57="","",E57+G57)</f>
        <v/>
      </c>
      <c r="I57" s="61" t="n"/>
      <c r="J57" s="64">
        <f>IF(A57="","",DATE(YEAR(A57),MONTH(A57),1))</f>
        <v/>
      </c>
      <c r="K57" s="61" t="n"/>
    </row>
    <row r="58">
      <c r="A58" s="60" t="n"/>
      <c r="B58" s="61" t="n"/>
      <c r="C58" s="61" t="n"/>
      <c r="D58" s="61" t="n"/>
      <c r="E58" s="62" t="n"/>
      <c r="F58" s="63">
        <f>IF(A58="","",Settings!$B$4)</f>
        <v/>
      </c>
      <c r="G58" s="62">
        <f>IF(E58="","",ROUND(E58*F58,2))</f>
        <v/>
      </c>
      <c r="H58" s="62">
        <f>IF(E58="","",E58+G58)</f>
        <v/>
      </c>
      <c r="I58" s="61" t="n"/>
      <c r="J58" s="64">
        <f>IF(A58="","",DATE(YEAR(A58),MONTH(A58),1))</f>
        <v/>
      </c>
      <c r="K58" s="61" t="n"/>
    </row>
    <row r="59">
      <c r="A59" s="60" t="n"/>
      <c r="B59" s="61" t="n"/>
      <c r="C59" s="61" t="n"/>
      <c r="D59" s="61" t="n"/>
      <c r="E59" s="62" t="n"/>
      <c r="F59" s="63">
        <f>IF(A59="","",Settings!$B$4)</f>
        <v/>
      </c>
      <c r="G59" s="62">
        <f>IF(E59="","",ROUND(E59*F59,2))</f>
        <v/>
      </c>
      <c r="H59" s="62">
        <f>IF(E59="","",E59+G59)</f>
        <v/>
      </c>
      <c r="I59" s="61" t="n"/>
      <c r="J59" s="64">
        <f>IF(A59="","",DATE(YEAR(A59),MONTH(A59),1))</f>
        <v/>
      </c>
      <c r="K59" s="61" t="n"/>
    </row>
    <row r="60">
      <c r="A60" s="60" t="n"/>
      <c r="B60" s="61" t="n"/>
      <c r="C60" s="61" t="n"/>
      <c r="D60" s="61" t="n"/>
      <c r="E60" s="62" t="n"/>
      <c r="F60" s="63">
        <f>IF(A60="","",Settings!$B$4)</f>
        <v/>
      </c>
      <c r="G60" s="62">
        <f>IF(E60="","",ROUND(E60*F60,2))</f>
        <v/>
      </c>
      <c r="H60" s="62">
        <f>IF(E60="","",E60+G60)</f>
        <v/>
      </c>
      <c r="I60" s="61" t="n"/>
      <c r="J60" s="64">
        <f>IF(A60="","",DATE(YEAR(A60),MONTH(A60),1))</f>
        <v/>
      </c>
      <c r="K60" s="61" t="n"/>
    </row>
    <row r="61">
      <c r="A61" s="60" t="n"/>
      <c r="B61" s="61" t="n"/>
      <c r="C61" s="61" t="n"/>
      <c r="D61" s="61" t="n"/>
      <c r="E61" s="62" t="n"/>
      <c r="F61" s="63">
        <f>IF(A61="","",Settings!$B$4)</f>
        <v/>
      </c>
      <c r="G61" s="62">
        <f>IF(E61="","",ROUND(E61*F61,2))</f>
        <v/>
      </c>
      <c r="H61" s="62">
        <f>IF(E61="","",E61+G61)</f>
        <v/>
      </c>
      <c r="I61" s="61" t="n"/>
      <c r="J61" s="64">
        <f>IF(A61="","",DATE(YEAR(A61),MONTH(A61),1))</f>
        <v/>
      </c>
      <c r="K61" s="61" t="n"/>
    </row>
    <row r="62">
      <c r="A62" s="60" t="n"/>
      <c r="B62" s="61" t="n"/>
      <c r="C62" s="61" t="n"/>
      <c r="D62" s="61" t="n"/>
      <c r="E62" s="62" t="n"/>
      <c r="F62" s="63">
        <f>IF(A62="","",Settings!$B$4)</f>
        <v/>
      </c>
      <c r="G62" s="62">
        <f>IF(E62="","",ROUND(E62*F62,2))</f>
        <v/>
      </c>
      <c r="H62" s="62">
        <f>IF(E62="","",E62+G62)</f>
        <v/>
      </c>
      <c r="I62" s="61" t="n"/>
      <c r="J62" s="64">
        <f>IF(A62="","",DATE(YEAR(A62),MONTH(A62),1))</f>
        <v/>
      </c>
      <c r="K62" s="61" t="n"/>
    </row>
    <row r="63">
      <c r="A63" s="60" t="n"/>
      <c r="B63" s="61" t="n"/>
      <c r="C63" s="61" t="n"/>
      <c r="D63" s="61" t="n"/>
      <c r="E63" s="62" t="n"/>
      <c r="F63" s="63">
        <f>IF(A63="","",Settings!$B$4)</f>
        <v/>
      </c>
      <c r="G63" s="62">
        <f>IF(E63="","",ROUND(E63*F63,2))</f>
        <v/>
      </c>
      <c r="H63" s="62">
        <f>IF(E63="","",E63+G63)</f>
        <v/>
      </c>
      <c r="I63" s="61" t="n"/>
      <c r="J63" s="64">
        <f>IF(A63="","",DATE(YEAR(A63),MONTH(A63),1))</f>
        <v/>
      </c>
      <c r="K63" s="61" t="n"/>
    </row>
    <row r="64">
      <c r="A64" s="60" t="n"/>
      <c r="B64" s="61" t="n"/>
      <c r="C64" s="61" t="n"/>
      <c r="D64" s="61" t="n"/>
      <c r="E64" s="62" t="n"/>
      <c r="F64" s="63">
        <f>IF(A64="","",Settings!$B$4)</f>
        <v/>
      </c>
      <c r="G64" s="62">
        <f>IF(E64="","",ROUND(E64*F64,2))</f>
        <v/>
      </c>
      <c r="H64" s="62">
        <f>IF(E64="","",E64+G64)</f>
        <v/>
      </c>
      <c r="I64" s="61" t="n"/>
      <c r="J64" s="64">
        <f>IF(A64="","",DATE(YEAR(A64),MONTH(A64),1))</f>
        <v/>
      </c>
      <c r="K64" s="61" t="n"/>
    </row>
    <row r="65">
      <c r="A65" s="60" t="n"/>
      <c r="B65" s="61" t="n"/>
      <c r="C65" s="61" t="n"/>
      <c r="D65" s="61" t="n"/>
      <c r="E65" s="62" t="n"/>
      <c r="F65" s="63">
        <f>IF(A65="","",Settings!$B$4)</f>
        <v/>
      </c>
      <c r="G65" s="62">
        <f>IF(E65="","",ROUND(E65*F65,2))</f>
        <v/>
      </c>
      <c r="H65" s="62">
        <f>IF(E65="","",E65+G65)</f>
        <v/>
      </c>
      <c r="I65" s="61" t="n"/>
      <c r="J65" s="64">
        <f>IF(A65="","",DATE(YEAR(A65),MONTH(A65),1))</f>
        <v/>
      </c>
      <c r="K65" s="61" t="n"/>
    </row>
    <row r="66">
      <c r="A66" s="60" t="n"/>
      <c r="B66" s="61" t="n"/>
      <c r="C66" s="61" t="n"/>
      <c r="D66" s="61" t="n"/>
      <c r="E66" s="62" t="n"/>
      <c r="F66" s="63">
        <f>IF(A66="","",Settings!$B$4)</f>
        <v/>
      </c>
      <c r="G66" s="62">
        <f>IF(E66="","",ROUND(E66*F66,2))</f>
        <v/>
      </c>
      <c r="H66" s="62">
        <f>IF(E66="","",E66+G66)</f>
        <v/>
      </c>
      <c r="I66" s="61" t="n"/>
      <c r="J66" s="64">
        <f>IF(A66="","",DATE(YEAR(A66),MONTH(A66),1))</f>
        <v/>
      </c>
      <c r="K66" s="61" t="n"/>
    </row>
    <row r="67">
      <c r="A67" s="60" t="n"/>
      <c r="B67" s="61" t="n"/>
      <c r="C67" s="61" t="n"/>
      <c r="D67" s="61" t="n"/>
      <c r="E67" s="62" t="n"/>
      <c r="F67" s="63">
        <f>IF(A67="","",Settings!$B$4)</f>
        <v/>
      </c>
      <c r="G67" s="62">
        <f>IF(E67="","",ROUND(E67*F67,2))</f>
        <v/>
      </c>
      <c r="H67" s="62">
        <f>IF(E67="","",E67+G67)</f>
        <v/>
      </c>
      <c r="I67" s="61" t="n"/>
      <c r="J67" s="64">
        <f>IF(A67="","",DATE(YEAR(A67),MONTH(A67),1))</f>
        <v/>
      </c>
      <c r="K67" s="61" t="n"/>
    </row>
    <row r="68">
      <c r="A68" s="60" t="n"/>
      <c r="B68" s="61" t="n"/>
      <c r="C68" s="61" t="n"/>
      <c r="D68" s="61" t="n"/>
      <c r="E68" s="62" t="n"/>
      <c r="F68" s="63">
        <f>IF(A68="","",Settings!$B$4)</f>
        <v/>
      </c>
      <c r="G68" s="62">
        <f>IF(E68="","",ROUND(E68*F68,2))</f>
        <v/>
      </c>
      <c r="H68" s="62">
        <f>IF(E68="","",E68+G68)</f>
        <v/>
      </c>
      <c r="I68" s="61" t="n"/>
      <c r="J68" s="64">
        <f>IF(A68="","",DATE(YEAR(A68),MONTH(A68),1))</f>
        <v/>
      </c>
      <c r="K68" s="61" t="n"/>
    </row>
    <row r="69">
      <c r="A69" s="60" t="n"/>
      <c r="B69" s="61" t="n"/>
      <c r="C69" s="61" t="n"/>
      <c r="D69" s="61" t="n"/>
      <c r="E69" s="62" t="n"/>
      <c r="F69" s="63">
        <f>IF(A69="","",Settings!$B$4)</f>
        <v/>
      </c>
      <c r="G69" s="62">
        <f>IF(E69="","",ROUND(E69*F69,2))</f>
        <v/>
      </c>
      <c r="H69" s="62">
        <f>IF(E69="","",E69+G69)</f>
        <v/>
      </c>
      <c r="I69" s="61" t="n"/>
      <c r="J69" s="64">
        <f>IF(A69="","",DATE(YEAR(A69),MONTH(A69),1))</f>
        <v/>
      </c>
      <c r="K69" s="61" t="n"/>
    </row>
    <row r="70">
      <c r="A70" s="60" t="n"/>
      <c r="B70" s="61" t="n"/>
      <c r="C70" s="61" t="n"/>
      <c r="D70" s="61" t="n"/>
      <c r="E70" s="62" t="n"/>
      <c r="F70" s="63">
        <f>IF(A70="","",Settings!$B$4)</f>
        <v/>
      </c>
      <c r="G70" s="62">
        <f>IF(E70="","",ROUND(E70*F70,2))</f>
        <v/>
      </c>
      <c r="H70" s="62">
        <f>IF(E70="","",E70+G70)</f>
        <v/>
      </c>
      <c r="I70" s="61" t="n"/>
      <c r="J70" s="64">
        <f>IF(A70="","",DATE(YEAR(A70),MONTH(A70),1))</f>
        <v/>
      </c>
      <c r="K70" s="61" t="n"/>
    </row>
    <row r="72">
      <c r="A72" s="58" t="inlineStr">
        <is>
          <t>April 2026 / เดือน Apr</t>
        </is>
      </c>
    </row>
    <row r="73">
      <c r="A73" s="59" t="inlineStr">
        <is>
          <t>วันที่</t>
        </is>
      </c>
      <c r="B73" s="59" t="inlineStr">
        <is>
          <t>เลขที่ใบกำกับ</t>
        </is>
      </c>
      <c r="C73" s="59" t="inlineStr">
        <is>
          <t>ลูกค้า</t>
        </is>
      </c>
      <c r="D73" s="59" t="inlineStr">
        <is>
          <t>รายละเอียด</t>
        </is>
      </c>
      <c r="E73" s="59" t="inlineStr">
        <is>
          <t>ยอดก่อน VAT</t>
        </is>
      </c>
      <c r="F73" s="59" t="inlineStr">
        <is>
          <t>อัตรา VAT</t>
        </is>
      </c>
      <c r="G73" s="59" t="inlineStr">
        <is>
          <t>ภาษีขาย</t>
        </is>
      </c>
      <c r="H73" s="59" t="inlineStr">
        <is>
          <t>ยอดรวม</t>
        </is>
      </c>
      <c r="I73" s="59" t="inlineStr">
        <is>
          <t>รับเงินแล้ว?</t>
        </is>
      </c>
      <c r="J73" s="59" t="inlineStr">
        <is>
          <t>เดือน</t>
        </is>
      </c>
      <c r="K73" s="59" t="inlineStr">
        <is>
          <t>หมายเหตุ</t>
        </is>
      </c>
    </row>
    <row r="74">
      <c r="A74" s="60" t="n"/>
      <c r="B74" s="61" t="n"/>
      <c r="C74" s="61" t="n"/>
      <c r="D74" s="61" t="n"/>
      <c r="E74" s="62" t="n"/>
      <c r="F74" s="63">
        <f>IF(A74="","",Settings!$B$4)</f>
        <v/>
      </c>
      <c r="G74" s="62">
        <f>IF(E74="","",ROUND(E74*F74,2))</f>
        <v/>
      </c>
      <c r="H74" s="62">
        <f>IF(E74="","",E74+G74)</f>
        <v/>
      </c>
      <c r="I74" s="61" t="n"/>
      <c r="J74" s="64">
        <f>IF(A74="","",DATE(YEAR(A74),MONTH(A74),1))</f>
        <v/>
      </c>
      <c r="K74" s="61" t="n"/>
    </row>
    <row r="75">
      <c r="A75" s="60" t="n"/>
      <c r="B75" s="61" t="n"/>
      <c r="C75" s="61" t="n"/>
      <c r="D75" s="61" t="n"/>
      <c r="E75" s="62" t="n"/>
      <c r="F75" s="63">
        <f>IF(A75="","",Settings!$B$4)</f>
        <v/>
      </c>
      <c r="G75" s="62">
        <f>IF(E75="","",ROUND(E75*F75,2))</f>
        <v/>
      </c>
      <c r="H75" s="62">
        <f>IF(E75="","",E75+G75)</f>
        <v/>
      </c>
      <c r="I75" s="61" t="n"/>
      <c r="J75" s="64">
        <f>IF(A75="","",DATE(YEAR(A75),MONTH(A75),1))</f>
        <v/>
      </c>
      <c r="K75" s="61" t="n"/>
    </row>
    <row r="76">
      <c r="A76" s="60" t="n"/>
      <c r="B76" s="61" t="n"/>
      <c r="C76" s="61" t="n"/>
      <c r="D76" s="61" t="n"/>
      <c r="E76" s="62" t="n"/>
      <c r="F76" s="63">
        <f>IF(A76="","",Settings!$B$4)</f>
        <v/>
      </c>
      <c r="G76" s="62">
        <f>IF(E76="","",ROUND(E76*F76,2))</f>
        <v/>
      </c>
      <c r="H76" s="62">
        <f>IF(E76="","",E76+G76)</f>
        <v/>
      </c>
      <c r="I76" s="61" t="n"/>
      <c r="J76" s="64">
        <f>IF(A76="","",DATE(YEAR(A76),MONTH(A76),1))</f>
        <v/>
      </c>
      <c r="K76" s="61" t="n"/>
    </row>
    <row r="77">
      <c r="A77" s="60" t="n"/>
      <c r="B77" s="61" t="n"/>
      <c r="C77" s="61" t="n"/>
      <c r="D77" s="61" t="n"/>
      <c r="E77" s="62" t="n"/>
      <c r="F77" s="63">
        <f>IF(A77="","",Settings!$B$4)</f>
        <v/>
      </c>
      <c r="G77" s="62">
        <f>IF(E77="","",ROUND(E77*F77,2))</f>
        <v/>
      </c>
      <c r="H77" s="62">
        <f>IF(E77="","",E77+G77)</f>
        <v/>
      </c>
      <c r="I77" s="61" t="n"/>
      <c r="J77" s="64">
        <f>IF(A77="","",DATE(YEAR(A77),MONTH(A77),1))</f>
        <v/>
      </c>
      <c r="K77" s="61" t="n"/>
    </row>
    <row r="78">
      <c r="A78" s="60" t="n"/>
      <c r="B78" s="61" t="n"/>
      <c r="C78" s="61" t="n"/>
      <c r="D78" s="61" t="n"/>
      <c r="E78" s="62" t="n"/>
      <c r="F78" s="63">
        <f>IF(A78="","",Settings!$B$4)</f>
        <v/>
      </c>
      <c r="G78" s="62">
        <f>IF(E78="","",ROUND(E78*F78,2))</f>
        <v/>
      </c>
      <c r="H78" s="62">
        <f>IF(E78="","",E78+G78)</f>
        <v/>
      </c>
      <c r="I78" s="61" t="n"/>
      <c r="J78" s="64">
        <f>IF(A78="","",DATE(YEAR(A78),MONTH(A78),1))</f>
        <v/>
      </c>
      <c r="K78" s="61" t="n"/>
    </row>
    <row r="79">
      <c r="A79" s="60" t="n"/>
      <c r="B79" s="61" t="n"/>
      <c r="C79" s="61" t="n"/>
      <c r="D79" s="61" t="n"/>
      <c r="E79" s="62" t="n"/>
      <c r="F79" s="63">
        <f>IF(A79="","",Settings!$B$4)</f>
        <v/>
      </c>
      <c r="G79" s="62">
        <f>IF(E79="","",ROUND(E79*F79,2))</f>
        <v/>
      </c>
      <c r="H79" s="62">
        <f>IF(E79="","",E79+G79)</f>
        <v/>
      </c>
      <c r="I79" s="61" t="n"/>
      <c r="J79" s="64">
        <f>IF(A79="","",DATE(YEAR(A79),MONTH(A79),1))</f>
        <v/>
      </c>
      <c r="K79" s="61" t="n"/>
    </row>
    <row r="80">
      <c r="A80" s="60" t="n"/>
      <c r="B80" s="61" t="n"/>
      <c r="C80" s="61" t="n"/>
      <c r="D80" s="61" t="n"/>
      <c r="E80" s="62" t="n"/>
      <c r="F80" s="63">
        <f>IF(A80="","",Settings!$B$4)</f>
        <v/>
      </c>
      <c r="G80" s="62">
        <f>IF(E80="","",ROUND(E80*F80,2))</f>
        <v/>
      </c>
      <c r="H80" s="62">
        <f>IF(E80="","",E80+G80)</f>
        <v/>
      </c>
      <c r="I80" s="61" t="n"/>
      <c r="J80" s="64">
        <f>IF(A80="","",DATE(YEAR(A80),MONTH(A80),1))</f>
        <v/>
      </c>
      <c r="K80" s="61" t="n"/>
    </row>
    <row r="81">
      <c r="A81" s="60" t="n"/>
      <c r="B81" s="61" t="n"/>
      <c r="C81" s="61" t="n"/>
      <c r="D81" s="61" t="n"/>
      <c r="E81" s="62" t="n"/>
      <c r="F81" s="63">
        <f>IF(A81="","",Settings!$B$4)</f>
        <v/>
      </c>
      <c r="G81" s="62">
        <f>IF(E81="","",ROUND(E81*F81,2))</f>
        <v/>
      </c>
      <c r="H81" s="62">
        <f>IF(E81="","",E81+G81)</f>
        <v/>
      </c>
      <c r="I81" s="61" t="n"/>
      <c r="J81" s="64">
        <f>IF(A81="","",DATE(YEAR(A81),MONTH(A81),1))</f>
        <v/>
      </c>
      <c r="K81" s="61" t="n"/>
    </row>
    <row r="82">
      <c r="A82" s="60" t="n"/>
      <c r="B82" s="61" t="n"/>
      <c r="C82" s="61" t="n"/>
      <c r="D82" s="61" t="n"/>
      <c r="E82" s="62" t="n"/>
      <c r="F82" s="63">
        <f>IF(A82="","",Settings!$B$4)</f>
        <v/>
      </c>
      <c r="G82" s="62">
        <f>IF(E82="","",ROUND(E82*F82,2))</f>
        <v/>
      </c>
      <c r="H82" s="62">
        <f>IF(E82="","",E82+G82)</f>
        <v/>
      </c>
      <c r="I82" s="61" t="n"/>
      <c r="J82" s="64">
        <f>IF(A82="","",DATE(YEAR(A82),MONTH(A82),1))</f>
        <v/>
      </c>
      <c r="K82" s="61" t="n"/>
    </row>
    <row r="83">
      <c r="A83" s="60" t="n"/>
      <c r="B83" s="61" t="n"/>
      <c r="C83" s="61" t="n"/>
      <c r="D83" s="61" t="n"/>
      <c r="E83" s="62" t="n"/>
      <c r="F83" s="63">
        <f>IF(A83="","",Settings!$B$4)</f>
        <v/>
      </c>
      <c r="G83" s="62">
        <f>IF(E83="","",ROUND(E83*F83,2))</f>
        <v/>
      </c>
      <c r="H83" s="62">
        <f>IF(E83="","",E83+G83)</f>
        <v/>
      </c>
      <c r="I83" s="61" t="n"/>
      <c r="J83" s="64">
        <f>IF(A83="","",DATE(YEAR(A83),MONTH(A83),1))</f>
        <v/>
      </c>
      <c r="K83" s="61" t="n"/>
    </row>
    <row r="84">
      <c r="A84" s="60" t="n"/>
      <c r="B84" s="61" t="n"/>
      <c r="C84" s="61" t="n"/>
      <c r="D84" s="61" t="n"/>
      <c r="E84" s="62" t="n"/>
      <c r="F84" s="63">
        <f>IF(A84="","",Settings!$B$4)</f>
        <v/>
      </c>
      <c r="G84" s="62">
        <f>IF(E84="","",ROUND(E84*F84,2))</f>
        <v/>
      </c>
      <c r="H84" s="62">
        <f>IF(E84="","",E84+G84)</f>
        <v/>
      </c>
      <c r="I84" s="61" t="n"/>
      <c r="J84" s="64">
        <f>IF(A84="","",DATE(YEAR(A84),MONTH(A84),1))</f>
        <v/>
      </c>
      <c r="K84" s="61" t="n"/>
    </row>
    <row r="85">
      <c r="A85" s="60" t="n"/>
      <c r="B85" s="61" t="n"/>
      <c r="C85" s="61" t="n"/>
      <c r="D85" s="61" t="n"/>
      <c r="E85" s="62" t="n"/>
      <c r="F85" s="63">
        <f>IF(A85="","",Settings!$B$4)</f>
        <v/>
      </c>
      <c r="G85" s="62">
        <f>IF(E85="","",ROUND(E85*F85,2))</f>
        <v/>
      </c>
      <c r="H85" s="62">
        <f>IF(E85="","",E85+G85)</f>
        <v/>
      </c>
      <c r="I85" s="61" t="n"/>
      <c r="J85" s="64">
        <f>IF(A85="","",DATE(YEAR(A85),MONTH(A85),1))</f>
        <v/>
      </c>
      <c r="K85" s="61" t="n"/>
    </row>
    <row r="86">
      <c r="A86" s="60" t="n"/>
      <c r="B86" s="61" t="n"/>
      <c r="C86" s="61" t="n"/>
      <c r="D86" s="61" t="n"/>
      <c r="E86" s="62" t="n"/>
      <c r="F86" s="63">
        <f>IF(A86="","",Settings!$B$4)</f>
        <v/>
      </c>
      <c r="G86" s="62">
        <f>IF(E86="","",ROUND(E86*F86,2))</f>
        <v/>
      </c>
      <c r="H86" s="62">
        <f>IF(E86="","",E86+G86)</f>
        <v/>
      </c>
      <c r="I86" s="61" t="n"/>
      <c r="J86" s="64">
        <f>IF(A86="","",DATE(YEAR(A86),MONTH(A86),1))</f>
        <v/>
      </c>
      <c r="K86" s="61" t="n"/>
    </row>
    <row r="87">
      <c r="A87" s="60" t="n"/>
      <c r="B87" s="61" t="n"/>
      <c r="C87" s="61" t="n"/>
      <c r="D87" s="61" t="n"/>
      <c r="E87" s="62" t="n"/>
      <c r="F87" s="63">
        <f>IF(A87="","",Settings!$B$4)</f>
        <v/>
      </c>
      <c r="G87" s="62">
        <f>IF(E87="","",ROUND(E87*F87,2))</f>
        <v/>
      </c>
      <c r="H87" s="62">
        <f>IF(E87="","",E87+G87)</f>
        <v/>
      </c>
      <c r="I87" s="61" t="n"/>
      <c r="J87" s="64">
        <f>IF(A87="","",DATE(YEAR(A87),MONTH(A87),1))</f>
        <v/>
      </c>
      <c r="K87" s="61" t="n"/>
    </row>
    <row r="88">
      <c r="A88" s="60" t="n"/>
      <c r="B88" s="61" t="n"/>
      <c r="C88" s="61" t="n"/>
      <c r="D88" s="61" t="n"/>
      <c r="E88" s="62" t="n"/>
      <c r="F88" s="63">
        <f>IF(A88="","",Settings!$B$4)</f>
        <v/>
      </c>
      <c r="G88" s="62">
        <f>IF(E88="","",ROUND(E88*F88,2))</f>
        <v/>
      </c>
      <c r="H88" s="62">
        <f>IF(E88="","",E88+G88)</f>
        <v/>
      </c>
      <c r="I88" s="61" t="n"/>
      <c r="J88" s="64">
        <f>IF(A88="","",DATE(YEAR(A88),MONTH(A88),1))</f>
        <v/>
      </c>
      <c r="K88" s="61" t="n"/>
    </row>
    <row r="89">
      <c r="A89" s="60" t="n"/>
      <c r="B89" s="61" t="n"/>
      <c r="C89" s="61" t="n"/>
      <c r="D89" s="61" t="n"/>
      <c r="E89" s="62" t="n"/>
      <c r="F89" s="63">
        <f>IF(A89="","",Settings!$B$4)</f>
        <v/>
      </c>
      <c r="G89" s="62">
        <f>IF(E89="","",ROUND(E89*F89,2))</f>
        <v/>
      </c>
      <c r="H89" s="62">
        <f>IF(E89="","",E89+G89)</f>
        <v/>
      </c>
      <c r="I89" s="61" t="n"/>
      <c r="J89" s="64">
        <f>IF(A89="","",DATE(YEAR(A89),MONTH(A89),1))</f>
        <v/>
      </c>
      <c r="K89" s="61" t="n"/>
    </row>
    <row r="90">
      <c r="A90" s="60" t="n"/>
      <c r="B90" s="61" t="n"/>
      <c r="C90" s="61" t="n"/>
      <c r="D90" s="61" t="n"/>
      <c r="E90" s="62" t="n"/>
      <c r="F90" s="63">
        <f>IF(A90="","",Settings!$B$4)</f>
        <v/>
      </c>
      <c r="G90" s="62">
        <f>IF(E90="","",ROUND(E90*F90,2))</f>
        <v/>
      </c>
      <c r="H90" s="62">
        <f>IF(E90="","",E90+G90)</f>
        <v/>
      </c>
      <c r="I90" s="61" t="n"/>
      <c r="J90" s="64">
        <f>IF(A90="","",DATE(YEAR(A90),MONTH(A90),1))</f>
        <v/>
      </c>
      <c r="K90" s="61" t="n"/>
    </row>
    <row r="91">
      <c r="A91" s="60" t="n"/>
      <c r="B91" s="61" t="n"/>
      <c r="C91" s="61" t="n"/>
      <c r="D91" s="61" t="n"/>
      <c r="E91" s="62" t="n"/>
      <c r="F91" s="63">
        <f>IF(A91="","",Settings!$B$4)</f>
        <v/>
      </c>
      <c r="G91" s="62">
        <f>IF(E91="","",ROUND(E91*F91,2))</f>
        <v/>
      </c>
      <c r="H91" s="62">
        <f>IF(E91="","",E91+G91)</f>
        <v/>
      </c>
      <c r="I91" s="61" t="n"/>
      <c r="J91" s="64">
        <f>IF(A91="","",DATE(YEAR(A91),MONTH(A91),1))</f>
        <v/>
      </c>
      <c r="K91" s="61" t="n"/>
    </row>
    <row r="92">
      <c r="A92" s="60" t="n"/>
      <c r="B92" s="61" t="n"/>
      <c r="C92" s="61" t="n"/>
      <c r="D92" s="61" t="n"/>
      <c r="E92" s="62" t="n"/>
      <c r="F92" s="63">
        <f>IF(A92="","",Settings!$B$4)</f>
        <v/>
      </c>
      <c r="G92" s="62">
        <f>IF(E92="","",ROUND(E92*F92,2))</f>
        <v/>
      </c>
      <c r="H92" s="62">
        <f>IF(E92="","",E92+G92)</f>
        <v/>
      </c>
      <c r="I92" s="61" t="n"/>
      <c r="J92" s="64">
        <f>IF(A92="","",DATE(YEAR(A92),MONTH(A92),1))</f>
        <v/>
      </c>
      <c r="K92" s="61" t="n"/>
    </row>
    <row r="93">
      <c r="A93" s="60" t="n"/>
      <c r="B93" s="61" t="n"/>
      <c r="C93" s="61" t="n"/>
      <c r="D93" s="61" t="n"/>
      <c r="E93" s="62" t="n"/>
      <c r="F93" s="63">
        <f>IF(A93="","",Settings!$B$4)</f>
        <v/>
      </c>
      <c r="G93" s="62">
        <f>IF(E93="","",ROUND(E93*F93,2))</f>
        <v/>
      </c>
      <c r="H93" s="62">
        <f>IF(E93="","",E93+G93)</f>
        <v/>
      </c>
      <c r="I93" s="61" t="n"/>
      <c r="J93" s="64">
        <f>IF(A93="","",DATE(YEAR(A93),MONTH(A93),1))</f>
        <v/>
      </c>
      <c r="K93" s="61" t="n"/>
    </row>
    <row r="95">
      <c r="A95" s="58" t="inlineStr">
        <is>
          <t>May 2026 / เดือน May</t>
        </is>
      </c>
    </row>
    <row r="96">
      <c r="A96" s="59" t="inlineStr">
        <is>
          <t>วันที่</t>
        </is>
      </c>
      <c r="B96" s="59" t="inlineStr">
        <is>
          <t>เลขที่ใบกำกับ</t>
        </is>
      </c>
      <c r="C96" s="59" t="inlineStr">
        <is>
          <t>ลูกค้า</t>
        </is>
      </c>
      <c r="D96" s="59" t="inlineStr">
        <is>
          <t>รายละเอียด</t>
        </is>
      </c>
      <c r="E96" s="59" t="inlineStr">
        <is>
          <t>ยอดก่อน VAT</t>
        </is>
      </c>
      <c r="F96" s="59" t="inlineStr">
        <is>
          <t>อัตรา VAT</t>
        </is>
      </c>
      <c r="G96" s="59" t="inlineStr">
        <is>
          <t>ภาษีขาย</t>
        </is>
      </c>
      <c r="H96" s="59" t="inlineStr">
        <is>
          <t>ยอดรวม</t>
        </is>
      </c>
      <c r="I96" s="59" t="inlineStr">
        <is>
          <t>รับเงินแล้ว?</t>
        </is>
      </c>
      <c r="J96" s="59" t="inlineStr">
        <is>
          <t>เดือน</t>
        </is>
      </c>
      <c r="K96" s="59" t="inlineStr">
        <is>
          <t>หมายเหตุ</t>
        </is>
      </c>
    </row>
    <row r="97">
      <c r="A97" s="60" t="n"/>
      <c r="B97" s="61" t="n"/>
      <c r="C97" s="61" t="n"/>
      <c r="D97" s="61" t="n"/>
      <c r="E97" s="62" t="n"/>
      <c r="F97" s="63">
        <f>IF(A97="","",Settings!$B$4)</f>
        <v/>
      </c>
      <c r="G97" s="62">
        <f>IF(E97="","",ROUND(E97*F97,2))</f>
        <v/>
      </c>
      <c r="H97" s="62">
        <f>IF(E97="","",E97+G97)</f>
        <v/>
      </c>
      <c r="I97" s="61" t="n"/>
      <c r="J97" s="64">
        <f>IF(A97="","",DATE(YEAR(A97),MONTH(A97),1))</f>
        <v/>
      </c>
      <c r="K97" s="61" t="n"/>
    </row>
    <row r="98">
      <c r="A98" s="60" t="n"/>
      <c r="B98" s="61" t="n"/>
      <c r="C98" s="61" t="n"/>
      <c r="D98" s="61" t="n"/>
      <c r="E98" s="62" t="n"/>
      <c r="F98" s="63">
        <f>IF(A98="","",Settings!$B$4)</f>
        <v/>
      </c>
      <c r="G98" s="62">
        <f>IF(E98="","",ROUND(E98*F98,2))</f>
        <v/>
      </c>
      <c r="H98" s="62">
        <f>IF(E98="","",E98+G98)</f>
        <v/>
      </c>
      <c r="I98" s="61" t="n"/>
      <c r="J98" s="64">
        <f>IF(A98="","",DATE(YEAR(A98),MONTH(A98),1))</f>
        <v/>
      </c>
      <c r="K98" s="61" t="n"/>
    </row>
    <row r="99">
      <c r="A99" s="60" t="n"/>
      <c r="B99" s="61" t="n"/>
      <c r="C99" s="61" t="n"/>
      <c r="D99" s="61" t="n"/>
      <c r="E99" s="62" t="n"/>
      <c r="F99" s="63">
        <f>IF(A99="","",Settings!$B$4)</f>
        <v/>
      </c>
      <c r="G99" s="62">
        <f>IF(E99="","",ROUND(E99*F99,2))</f>
        <v/>
      </c>
      <c r="H99" s="62">
        <f>IF(E99="","",E99+G99)</f>
        <v/>
      </c>
      <c r="I99" s="61" t="n"/>
      <c r="J99" s="64">
        <f>IF(A99="","",DATE(YEAR(A99),MONTH(A99),1))</f>
        <v/>
      </c>
      <c r="K99" s="61" t="n"/>
    </row>
    <row r="100">
      <c r="A100" s="60" t="n"/>
      <c r="B100" s="61" t="n"/>
      <c r="C100" s="61" t="n"/>
      <c r="D100" s="61" t="n"/>
      <c r="E100" s="62" t="n"/>
      <c r="F100" s="63">
        <f>IF(A100="","",Settings!$B$4)</f>
        <v/>
      </c>
      <c r="G100" s="62">
        <f>IF(E100="","",ROUND(E100*F100,2))</f>
        <v/>
      </c>
      <c r="H100" s="62">
        <f>IF(E100="","",E100+G100)</f>
        <v/>
      </c>
      <c r="I100" s="61" t="n"/>
      <c r="J100" s="64">
        <f>IF(A100="","",DATE(YEAR(A100),MONTH(A100),1))</f>
        <v/>
      </c>
      <c r="K100" s="61" t="n"/>
    </row>
    <row r="101">
      <c r="A101" s="60" t="n"/>
      <c r="B101" s="61" t="n"/>
      <c r="C101" s="61" t="n"/>
      <c r="D101" s="61" t="n"/>
      <c r="E101" s="62" t="n"/>
      <c r="F101" s="63">
        <f>IF(A101="","",Settings!$B$4)</f>
        <v/>
      </c>
      <c r="G101" s="62">
        <f>IF(E101="","",ROUND(E101*F101,2))</f>
        <v/>
      </c>
      <c r="H101" s="62">
        <f>IF(E101="","",E101+G101)</f>
        <v/>
      </c>
      <c r="I101" s="61" t="n"/>
      <c r="J101" s="64">
        <f>IF(A101="","",DATE(YEAR(A101),MONTH(A101),1))</f>
        <v/>
      </c>
      <c r="K101" s="61" t="n"/>
    </row>
    <row r="102">
      <c r="A102" s="60" t="n"/>
      <c r="B102" s="61" t="n"/>
      <c r="C102" s="61" t="n"/>
      <c r="D102" s="61" t="n"/>
      <c r="E102" s="62" t="n"/>
      <c r="F102" s="63">
        <f>IF(A102="","",Settings!$B$4)</f>
        <v/>
      </c>
      <c r="G102" s="62">
        <f>IF(E102="","",ROUND(E102*F102,2))</f>
        <v/>
      </c>
      <c r="H102" s="62">
        <f>IF(E102="","",E102+G102)</f>
        <v/>
      </c>
      <c r="I102" s="61" t="n"/>
      <c r="J102" s="64">
        <f>IF(A102="","",DATE(YEAR(A102),MONTH(A102),1))</f>
        <v/>
      </c>
      <c r="K102" s="61" t="n"/>
    </row>
    <row r="103">
      <c r="A103" s="60" t="n"/>
      <c r="B103" s="61" t="n"/>
      <c r="C103" s="61" t="n"/>
      <c r="D103" s="61" t="n"/>
      <c r="E103" s="62" t="n"/>
      <c r="F103" s="63">
        <f>IF(A103="","",Settings!$B$4)</f>
        <v/>
      </c>
      <c r="G103" s="62">
        <f>IF(E103="","",ROUND(E103*F103,2))</f>
        <v/>
      </c>
      <c r="H103" s="62">
        <f>IF(E103="","",E103+G103)</f>
        <v/>
      </c>
      <c r="I103" s="61" t="n"/>
      <c r="J103" s="64">
        <f>IF(A103="","",DATE(YEAR(A103),MONTH(A103),1))</f>
        <v/>
      </c>
      <c r="K103" s="61" t="n"/>
    </row>
    <row r="104">
      <c r="A104" s="60" t="n"/>
      <c r="B104" s="61" t="n"/>
      <c r="C104" s="61" t="n"/>
      <c r="D104" s="61" t="n"/>
      <c r="E104" s="62" t="n"/>
      <c r="F104" s="63">
        <f>IF(A104="","",Settings!$B$4)</f>
        <v/>
      </c>
      <c r="G104" s="62">
        <f>IF(E104="","",ROUND(E104*F104,2))</f>
        <v/>
      </c>
      <c r="H104" s="62">
        <f>IF(E104="","",E104+G104)</f>
        <v/>
      </c>
      <c r="I104" s="61" t="n"/>
      <c r="J104" s="64">
        <f>IF(A104="","",DATE(YEAR(A104),MONTH(A104),1))</f>
        <v/>
      </c>
      <c r="K104" s="61" t="n"/>
    </row>
    <row r="105">
      <c r="A105" s="60" t="n"/>
      <c r="B105" s="61" t="n"/>
      <c r="C105" s="61" t="n"/>
      <c r="D105" s="61" t="n"/>
      <c r="E105" s="62" t="n"/>
      <c r="F105" s="63">
        <f>IF(A105="","",Settings!$B$4)</f>
        <v/>
      </c>
      <c r="G105" s="62">
        <f>IF(E105="","",ROUND(E105*F105,2))</f>
        <v/>
      </c>
      <c r="H105" s="62">
        <f>IF(E105="","",E105+G105)</f>
        <v/>
      </c>
      <c r="I105" s="61" t="n"/>
      <c r="J105" s="64">
        <f>IF(A105="","",DATE(YEAR(A105),MONTH(A105),1))</f>
        <v/>
      </c>
      <c r="K105" s="61" t="n"/>
    </row>
    <row r="106">
      <c r="A106" s="60" t="n"/>
      <c r="B106" s="61" t="n"/>
      <c r="C106" s="61" t="n"/>
      <c r="D106" s="61" t="n"/>
      <c r="E106" s="62" t="n"/>
      <c r="F106" s="63">
        <f>IF(A106="","",Settings!$B$4)</f>
        <v/>
      </c>
      <c r="G106" s="62">
        <f>IF(E106="","",ROUND(E106*F106,2))</f>
        <v/>
      </c>
      <c r="H106" s="62">
        <f>IF(E106="","",E106+G106)</f>
        <v/>
      </c>
      <c r="I106" s="61" t="n"/>
      <c r="J106" s="64">
        <f>IF(A106="","",DATE(YEAR(A106),MONTH(A106),1))</f>
        <v/>
      </c>
      <c r="K106" s="61" t="n"/>
    </row>
    <row r="107">
      <c r="A107" s="60" t="n"/>
      <c r="B107" s="61" t="n"/>
      <c r="C107" s="61" t="n"/>
      <c r="D107" s="61" t="n"/>
      <c r="E107" s="62" t="n"/>
      <c r="F107" s="63">
        <f>IF(A107="","",Settings!$B$4)</f>
        <v/>
      </c>
      <c r="G107" s="62">
        <f>IF(E107="","",ROUND(E107*F107,2))</f>
        <v/>
      </c>
      <c r="H107" s="62">
        <f>IF(E107="","",E107+G107)</f>
        <v/>
      </c>
      <c r="I107" s="61" t="n"/>
      <c r="J107" s="64">
        <f>IF(A107="","",DATE(YEAR(A107),MONTH(A107),1))</f>
        <v/>
      </c>
      <c r="K107" s="61" t="n"/>
    </row>
    <row r="108">
      <c r="A108" s="60" t="n"/>
      <c r="B108" s="61" t="n"/>
      <c r="C108" s="61" t="n"/>
      <c r="D108" s="61" t="n"/>
      <c r="E108" s="62" t="n"/>
      <c r="F108" s="63">
        <f>IF(A108="","",Settings!$B$4)</f>
        <v/>
      </c>
      <c r="G108" s="62">
        <f>IF(E108="","",ROUND(E108*F108,2))</f>
        <v/>
      </c>
      <c r="H108" s="62">
        <f>IF(E108="","",E108+G108)</f>
        <v/>
      </c>
      <c r="I108" s="61" t="n"/>
      <c r="J108" s="64">
        <f>IF(A108="","",DATE(YEAR(A108),MONTH(A108),1))</f>
        <v/>
      </c>
      <c r="K108" s="61" t="n"/>
    </row>
    <row r="109">
      <c r="A109" s="60" t="n"/>
      <c r="B109" s="61" t="n"/>
      <c r="C109" s="61" t="n"/>
      <c r="D109" s="61" t="n"/>
      <c r="E109" s="62" t="n"/>
      <c r="F109" s="63">
        <f>IF(A109="","",Settings!$B$4)</f>
        <v/>
      </c>
      <c r="G109" s="62">
        <f>IF(E109="","",ROUND(E109*F109,2))</f>
        <v/>
      </c>
      <c r="H109" s="62">
        <f>IF(E109="","",E109+G109)</f>
        <v/>
      </c>
      <c r="I109" s="61" t="n"/>
      <c r="J109" s="64">
        <f>IF(A109="","",DATE(YEAR(A109),MONTH(A109),1))</f>
        <v/>
      </c>
      <c r="K109" s="61" t="n"/>
    </row>
    <row r="110">
      <c r="A110" s="60" t="n"/>
      <c r="B110" s="61" t="n"/>
      <c r="C110" s="61" t="n"/>
      <c r="D110" s="61" t="n"/>
      <c r="E110" s="62" t="n"/>
      <c r="F110" s="63">
        <f>IF(A110="","",Settings!$B$4)</f>
        <v/>
      </c>
      <c r="G110" s="62">
        <f>IF(E110="","",ROUND(E110*F110,2))</f>
        <v/>
      </c>
      <c r="H110" s="62">
        <f>IF(E110="","",E110+G110)</f>
        <v/>
      </c>
      <c r="I110" s="61" t="n"/>
      <c r="J110" s="64">
        <f>IF(A110="","",DATE(YEAR(A110),MONTH(A110),1))</f>
        <v/>
      </c>
      <c r="K110" s="61" t="n"/>
    </row>
    <row r="111">
      <c r="A111" s="60" t="n"/>
      <c r="B111" s="61" t="n"/>
      <c r="C111" s="61" t="n"/>
      <c r="D111" s="61" t="n"/>
      <c r="E111" s="62" t="n"/>
      <c r="F111" s="63">
        <f>IF(A111="","",Settings!$B$4)</f>
        <v/>
      </c>
      <c r="G111" s="62">
        <f>IF(E111="","",ROUND(E111*F111,2))</f>
        <v/>
      </c>
      <c r="H111" s="62">
        <f>IF(E111="","",E111+G111)</f>
        <v/>
      </c>
      <c r="I111" s="61" t="n"/>
      <c r="J111" s="64">
        <f>IF(A111="","",DATE(YEAR(A111),MONTH(A111),1))</f>
        <v/>
      </c>
      <c r="K111" s="61" t="n"/>
    </row>
    <row r="112">
      <c r="A112" s="60" t="n"/>
      <c r="B112" s="61" t="n"/>
      <c r="C112" s="61" t="n"/>
      <c r="D112" s="61" t="n"/>
      <c r="E112" s="62" t="n"/>
      <c r="F112" s="63">
        <f>IF(A112="","",Settings!$B$4)</f>
        <v/>
      </c>
      <c r="G112" s="62">
        <f>IF(E112="","",ROUND(E112*F112,2))</f>
        <v/>
      </c>
      <c r="H112" s="62">
        <f>IF(E112="","",E112+G112)</f>
        <v/>
      </c>
      <c r="I112" s="61" t="n"/>
      <c r="J112" s="64">
        <f>IF(A112="","",DATE(YEAR(A112),MONTH(A112),1))</f>
        <v/>
      </c>
      <c r="K112" s="61" t="n"/>
    </row>
    <row r="113">
      <c r="A113" s="60" t="n"/>
      <c r="B113" s="61" t="n"/>
      <c r="C113" s="61" t="n"/>
      <c r="D113" s="61" t="n"/>
      <c r="E113" s="62" t="n"/>
      <c r="F113" s="63">
        <f>IF(A113="","",Settings!$B$4)</f>
        <v/>
      </c>
      <c r="G113" s="62">
        <f>IF(E113="","",ROUND(E113*F113,2))</f>
        <v/>
      </c>
      <c r="H113" s="62">
        <f>IF(E113="","",E113+G113)</f>
        <v/>
      </c>
      <c r="I113" s="61" t="n"/>
      <c r="J113" s="64">
        <f>IF(A113="","",DATE(YEAR(A113),MONTH(A113),1))</f>
        <v/>
      </c>
      <c r="K113" s="61" t="n"/>
    </row>
    <row r="114">
      <c r="A114" s="60" t="n"/>
      <c r="B114" s="61" t="n"/>
      <c r="C114" s="61" t="n"/>
      <c r="D114" s="61" t="n"/>
      <c r="E114" s="62" t="n"/>
      <c r="F114" s="63">
        <f>IF(A114="","",Settings!$B$4)</f>
        <v/>
      </c>
      <c r="G114" s="62">
        <f>IF(E114="","",ROUND(E114*F114,2))</f>
        <v/>
      </c>
      <c r="H114" s="62">
        <f>IF(E114="","",E114+G114)</f>
        <v/>
      </c>
      <c r="I114" s="61" t="n"/>
      <c r="J114" s="64">
        <f>IF(A114="","",DATE(YEAR(A114),MONTH(A114),1))</f>
        <v/>
      </c>
      <c r="K114" s="61" t="n"/>
    </row>
    <row r="115">
      <c r="A115" s="60" t="n"/>
      <c r="B115" s="61" t="n"/>
      <c r="C115" s="61" t="n"/>
      <c r="D115" s="61" t="n"/>
      <c r="E115" s="62" t="n"/>
      <c r="F115" s="63">
        <f>IF(A115="","",Settings!$B$4)</f>
        <v/>
      </c>
      <c r="G115" s="62">
        <f>IF(E115="","",ROUND(E115*F115,2))</f>
        <v/>
      </c>
      <c r="H115" s="62">
        <f>IF(E115="","",E115+G115)</f>
        <v/>
      </c>
      <c r="I115" s="61" t="n"/>
      <c r="J115" s="64">
        <f>IF(A115="","",DATE(YEAR(A115),MONTH(A115),1))</f>
        <v/>
      </c>
      <c r="K115" s="61" t="n"/>
    </row>
    <row r="116">
      <c r="A116" s="60" t="n"/>
      <c r="B116" s="61" t="n"/>
      <c r="C116" s="61" t="n"/>
      <c r="D116" s="61" t="n"/>
      <c r="E116" s="62" t="n"/>
      <c r="F116" s="63">
        <f>IF(A116="","",Settings!$B$4)</f>
        <v/>
      </c>
      <c r="G116" s="62">
        <f>IF(E116="","",ROUND(E116*F116,2))</f>
        <v/>
      </c>
      <c r="H116" s="62">
        <f>IF(E116="","",E116+G116)</f>
        <v/>
      </c>
      <c r="I116" s="61" t="n"/>
      <c r="J116" s="64">
        <f>IF(A116="","",DATE(YEAR(A116),MONTH(A116),1))</f>
        <v/>
      </c>
      <c r="K116" s="61" t="n"/>
    </row>
    <row r="118">
      <c r="A118" s="58" t="inlineStr">
        <is>
          <t>June 2026 / เดือน Jun</t>
        </is>
      </c>
    </row>
    <row r="119">
      <c r="A119" s="59" t="inlineStr">
        <is>
          <t>วันที่</t>
        </is>
      </c>
      <c r="B119" s="59" t="inlineStr">
        <is>
          <t>เลขที่ใบกำกับ</t>
        </is>
      </c>
      <c r="C119" s="59" t="inlineStr">
        <is>
          <t>ลูกค้า</t>
        </is>
      </c>
      <c r="D119" s="59" t="inlineStr">
        <is>
          <t>รายละเอียด</t>
        </is>
      </c>
      <c r="E119" s="59" t="inlineStr">
        <is>
          <t>ยอดก่อน VAT</t>
        </is>
      </c>
      <c r="F119" s="59" t="inlineStr">
        <is>
          <t>อัตรา VAT</t>
        </is>
      </c>
      <c r="G119" s="59" t="inlineStr">
        <is>
          <t>ภาษีขาย</t>
        </is>
      </c>
      <c r="H119" s="59" t="inlineStr">
        <is>
          <t>ยอดรวม</t>
        </is>
      </c>
      <c r="I119" s="59" t="inlineStr">
        <is>
          <t>รับเงินแล้ว?</t>
        </is>
      </c>
      <c r="J119" s="59" t="inlineStr">
        <is>
          <t>เดือน</t>
        </is>
      </c>
      <c r="K119" s="59" t="inlineStr">
        <is>
          <t>หมายเหตุ</t>
        </is>
      </c>
    </row>
    <row r="120">
      <c r="A120" s="60" t="n"/>
      <c r="B120" s="61" t="n"/>
      <c r="C120" s="61" t="n"/>
      <c r="D120" s="61" t="n"/>
      <c r="E120" s="62" t="n"/>
      <c r="F120" s="63">
        <f>IF(A120="","",Settings!$B$4)</f>
        <v/>
      </c>
      <c r="G120" s="62">
        <f>IF(E120="","",ROUND(E120*F120,2))</f>
        <v/>
      </c>
      <c r="H120" s="62">
        <f>IF(E120="","",E120+G120)</f>
        <v/>
      </c>
      <c r="I120" s="61" t="n"/>
      <c r="J120" s="64">
        <f>IF(A120="","",DATE(YEAR(A120),MONTH(A120),1))</f>
        <v/>
      </c>
      <c r="K120" s="61" t="n"/>
    </row>
    <row r="121">
      <c r="A121" s="60" t="n"/>
      <c r="B121" s="61" t="n"/>
      <c r="C121" s="61" t="n"/>
      <c r="D121" s="61" t="n"/>
      <c r="E121" s="62" t="n"/>
      <c r="F121" s="63">
        <f>IF(A121="","",Settings!$B$4)</f>
        <v/>
      </c>
      <c r="G121" s="62">
        <f>IF(E121="","",ROUND(E121*F121,2))</f>
        <v/>
      </c>
      <c r="H121" s="62">
        <f>IF(E121="","",E121+G121)</f>
        <v/>
      </c>
      <c r="I121" s="61" t="n"/>
      <c r="J121" s="64">
        <f>IF(A121="","",DATE(YEAR(A121),MONTH(A121),1))</f>
        <v/>
      </c>
      <c r="K121" s="61" t="n"/>
    </row>
    <row r="122">
      <c r="A122" s="60" t="n"/>
      <c r="B122" s="61" t="n"/>
      <c r="C122" s="61" t="n"/>
      <c r="D122" s="61" t="n"/>
      <c r="E122" s="62" t="n"/>
      <c r="F122" s="63">
        <f>IF(A122="","",Settings!$B$4)</f>
        <v/>
      </c>
      <c r="G122" s="62">
        <f>IF(E122="","",ROUND(E122*F122,2))</f>
        <v/>
      </c>
      <c r="H122" s="62">
        <f>IF(E122="","",E122+G122)</f>
        <v/>
      </c>
      <c r="I122" s="61" t="n"/>
      <c r="J122" s="64">
        <f>IF(A122="","",DATE(YEAR(A122),MONTH(A122),1))</f>
        <v/>
      </c>
      <c r="K122" s="61" t="n"/>
    </row>
    <row r="123">
      <c r="A123" s="60" t="n"/>
      <c r="B123" s="61" t="n"/>
      <c r="C123" s="61" t="n"/>
      <c r="D123" s="61" t="n"/>
      <c r="E123" s="62" t="n"/>
      <c r="F123" s="63">
        <f>IF(A123="","",Settings!$B$4)</f>
        <v/>
      </c>
      <c r="G123" s="62">
        <f>IF(E123="","",ROUND(E123*F123,2))</f>
        <v/>
      </c>
      <c r="H123" s="62">
        <f>IF(E123="","",E123+G123)</f>
        <v/>
      </c>
      <c r="I123" s="61" t="n"/>
      <c r="J123" s="64">
        <f>IF(A123="","",DATE(YEAR(A123),MONTH(A123),1))</f>
        <v/>
      </c>
      <c r="K123" s="61" t="n"/>
    </row>
    <row r="124">
      <c r="A124" s="60" t="n"/>
      <c r="B124" s="61" t="n"/>
      <c r="C124" s="61" t="n"/>
      <c r="D124" s="61" t="n"/>
      <c r="E124" s="62" t="n"/>
      <c r="F124" s="63">
        <f>IF(A124="","",Settings!$B$4)</f>
        <v/>
      </c>
      <c r="G124" s="62">
        <f>IF(E124="","",ROUND(E124*F124,2))</f>
        <v/>
      </c>
      <c r="H124" s="62">
        <f>IF(E124="","",E124+G124)</f>
        <v/>
      </c>
      <c r="I124" s="61" t="n"/>
      <c r="J124" s="64">
        <f>IF(A124="","",DATE(YEAR(A124),MONTH(A124),1))</f>
        <v/>
      </c>
      <c r="K124" s="61" t="n"/>
    </row>
    <row r="125">
      <c r="A125" s="60" t="n"/>
      <c r="B125" s="61" t="n"/>
      <c r="C125" s="61" t="n"/>
      <c r="D125" s="61" t="n"/>
      <c r="E125" s="62" t="n"/>
      <c r="F125" s="63">
        <f>IF(A125="","",Settings!$B$4)</f>
        <v/>
      </c>
      <c r="G125" s="62">
        <f>IF(E125="","",ROUND(E125*F125,2))</f>
        <v/>
      </c>
      <c r="H125" s="62">
        <f>IF(E125="","",E125+G125)</f>
        <v/>
      </c>
      <c r="I125" s="61" t="n"/>
      <c r="J125" s="64">
        <f>IF(A125="","",DATE(YEAR(A125),MONTH(A125),1))</f>
        <v/>
      </c>
      <c r="K125" s="61" t="n"/>
    </row>
    <row r="126">
      <c r="A126" s="60" t="n"/>
      <c r="B126" s="61" t="n"/>
      <c r="C126" s="61" t="n"/>
      <c r="D126" s="61" t="n"/>
      <c r="E126" s="62" t="n"/>
      <c r="F126" s="63">
        <f>IF(A126="","",Settings!$B$4)</f>
        <v/>
      </c>
      <c r="G126" s="62">
        <f>IF(E126="","",ROUND(E126*F126,2))</f>
        <v/>
      </c>
      <c r="H126" s="62">
        <f>IF(E126="","",E126+G126)</f>
        <v/>
      </c>
      <c r="I126" s="61" t="n"/>
      <c r="J126" s="64">
        <f>IF(A126="","",DATE(YEAR(A126),MONTH(A126),1))</f>
        <v/>
      </c>
      <c r="K126" s="61" t="n"/>
    </row>
    <row r="127">
      <c r="A127" s="60" t="n"/>
      <c r="B127" s="61" t="n"/>
      <c r="C127" s="61" t="n"/>
      <c r="D127" s="61" t="n"/>
      <c r="E127" s="62" t="n"/>
      <c r="F127" s="63">
        <f>IF(A127="","",Settings!$B$4)</f>
        <v/>
      </c>
      <c r="G127" s="62">
        <f>IF(E127="","",ROUND(E127*F127,2))</f>
        <v/>
      </c>
      <c r="H127" s="62">
        <f>IF(E127="","",E127+G127)</f>
        <v/>
      </c>
      <c r="I127" s="61" t="n"/>
      <c r="J127" s="64">
        <f>IF(A127="","",DATE(YEAR(A127),MONTH(A127),1))</f>
        <v/>
      </c>
      <c r="K127" s="61" t="n"/>
    </row>
    <row r="128">
      <c r="A128" s="60" t="n"/>
      <c r="B128" s="61" t="n"/>
      <c r="C128" s="61" t="n"/>
      <c r="D128" s="61" t="n"/>
      <c r="E128" s="62" t="n"/>
      <c r="F128" s="63">
        <f>IF(A128="","",Settings!$B$4)</f>
        <v/>
      </c>
      <c r="G128" s="62">
        <f>IF(E128="","",ROUND(E128*F128,2))</f>
        <v/>
      </c>
      <c r="H128" s="62">
        <f>IF(E128="","",E128+G128)</f>
        <v/>
      </c>
      <c r="I128" s="61" t="n"/>
      <c r="J128" s="64">
        <f>IF(A128="","",DATE(YEAR(A128),MONTH(A128),1))</f>
        <v/>
      </c>
      <c r="K128" s="61" t="n"/>
    </row>
    <row r="129">
      <c r="A129" s="60" t="n"/>
      <c r="B129" s="61" t="n"/>
      <c r="C129" s="61" t="n"/>
      <c r="D129" s="61" t="n"/>
      <c r="E129" s="62" t="n"/>
      <c r="F129" s="63">
        <f>IF(A129="","",Settings!$B$4)</f>
        <v/>
      </c>
      <c r="G129" s="62">
        <f>IF(E129="","",ROUND(E129*F129,2))</f>
        <v/>
      </c>
      <c r="H129" s="62">
        <f>IF(E129="","",E129+G129)</f>
        <v/>
      </c>
      <c r="I129" s="61" t="n"/>
      <c r="J129" s="64">
        <f>IF(A129="","",DATE(YEAR(A129),MONTH(A129),1))</f>
        <v/>
      </c>
      <c r="K129" s="61" t="n"/>
    </row>
    <row r="130">
      <c r="A130" s="60" t="n"/>
      <c r="B130" s="61" t="n"/>
      <c r="C130" s="61" t="n"/>
      <c r="D130" s="61" t="n"/>
      <c r="E130" s="62" t="n"/>
      <c r="F130" s="63">
        <f>IF(A130="","",Settings!$B$4)</f>
        <v/>
      </c>
      <c r="G130" s="62">
        <f>IF(E130="","",ROUND(E130*F130,2))</f>
        <v/>
      </c>
      <c r="H130" s="62">
        <f>IF(E130="","",E130+G130)</f>
        <v/>
      </c>
      <c r="I130" s="61" t="n"/>
      <c r="J130" s="64">
        <f>IF(A130="","",DATE(YEAR(A130),MONTH(A130),1))</f>
        <v/>
      </c>
      <c r="K130" s="61" t="n"/>
    </row>
    <row r="131">
      <c r="A131" s="60" t="n"/>
      <c r="B131" s="61" t="n"/>
      <c r="C131" s="61" t="n"/>
      <c r="D131" s="61" t="n"/>
      <c r="E131" s="62" t="n"/>
      <c r="F131" s="63">
        <f>IF(A131="","",Settings!$B$4)</f>
        <v/>
      </c>
      <c r="G131" s="62">
        <f>IF(E131="","",ROUND(E131*F131,2))</f>
        <v/>
      </c>
      <c r="H131" s="62">
        <f>IF(E131="","",E131+G131)</f>
        <v/>
      </c>
      <c r="I131" s="61" t="n"/>
      <c r="J131" s="64">
        <f>IF(A131="","",DATE(YEAR(A131),MONTH(A131),1))</f>
        <v/>
      </c>
      <c r="K131" s="61" t="n"/>
    </row>
    <row r="132">
      <c r="A132" s="60" t="n"/>
      <c r="B132" s="61" t="n"/>
      <c r="C132" s="61" t="n"/>
      <c r="D132" s="61" t="n"/>
      <c r="E132" s="62" t="n"/>
      <c r="F132" s="63">
        <f>IF(A132="","",Settings!$B$4)</f>
        <v/>
      </c>
      <c r="G132" s="62">
        <f>IF(E132="","",ROUND(E132*F132,2))</f>
        <v/>
      </c>
      <c r="H132" s="62">
        <f>IF(E132="","",E132+G132)</f>
        <v/>
      </c>
      <c r="I132" s="61" t="n"/>
      <c r="J132" s="64">
        <f>IF(A132="","",DATE(YEAR(A132),MONTH(A132),1))</f>
        <v/>
      </c>
      <c r="K132" s="61" t="n"/>
    </row>
    <row r="133">
      <c r="A133" s="60" t="n"/>
      <c r="B133" s="61" t="n"/>
      <c r="C133" s="61" t="n"/>
      <c r="D133" s="61" t="n"/>
      <c r="E133" s="62" t="n"/>
      <c r="F133" s="63">
        <f>IF(A133="","",Settings!$B$4)</f>
        <v/>
      </c>
      <c r="G133" s="62">
        <f>IF(E133="","",ROUND(E133*F133,2))</f>
        <v/>
      </c>
      <c r="H133" s="62">
        <f>IF(E133="","",E133+G133)</f>
        <v/>
      </c>
      <c r="I133" s="61" t="n"/>
      <c r="J133" s="64">
        <f>IF(A133="","",DATE(YEAR(A133),MONTH(A133),1))</f>
        <v/>
      </c>
      <c r="K133" s="61" t="n"/>
    </row>
    <row r="134">
      <c r="A134" s="60" t="n"/>
      <c r="B134" s="61" t="n"/>
      <c r="C134" s="61" t="n"/>
      <c r="D134" s="61" t="n"/>
      <c r="E134" s="62" t="n"/>
      <c r="F134" s="63">
        <f>IF(A134="","",Settings!$B$4)</f>
        <v/>
      </c>
      <c r="G134" s="62">
        <f>IF(E134="","",ROUND(E134*F134,2))</f>
        <v/>
      </c>
      <c r="H134" s="62">
        <f>IF(E134="","",E134+G134)</f>
        <v/>
      </c>
      <c r="I134" s="61" t="n"/>
      <c r="J134" s="64">
        <f>IF(A134="","",DATE(YEAR(A134),MONTH(A134),1))</f>
        <v/>
      </c>
      <c r="K134" s="61" t="n"/>
    </row>
    <row r="135">
      <c r="A135" s="60" t="n"/>
      <c r="B135" s="61" t="n"/>
      <c r="C135" s="61" t="n"/>
      <c r="D135" s="61" t="n"/>
      <c r="E135" s="62" t="n"/>
      <c r="F135" s="63">
        <f>IF(A135="","",Settings!$B$4)</f>
        <v/>
      </c>
      <c r="G135" s="62">
        <f>IF(E135="","",ROUND(E135*F135,2))</f>
        <v/>
      </c>
      <c r="H135" s="62">
        <f>IF(E135="","",E135+G135)</f>
        <v/>
      </c>
      <c r="I135" s="61" t="n"/>
      <c r="J135" s="64">
        <f>IF(A135="","",DATE(YEAR(A135),MONTH(A135),1))</f>
        <v/>
      </c>
      <c r="K135" s="61" t="n"/>
    </row>
    <row r="136">
      <c r="A136" s="60" t="n"/>
      <c r="B136" s="61" t="n"/>
      <c r="C136" s="61" t="n"/>
      <c r="D136" s="61" t="n"/>
      <c r="E136" s="62" t="n"/>
      <c r="F136" s="63">
        <f>IF(A136="","",Settings!$B$4)</f>
        <v/>
      </c>
      <c r="G136" s="62">
        <f>IF(E136="","",ROUND(E136*F136,2))</f>
        <v/>
      </c>
      <c r="H136" s="62">
        <f>IF(E136="","",E136+G136)</f>
        <v/>
      </c>
      <c r="I136" s="61" t="n"/>
      <c r="J136" s="64">
        <f>IF(A136="","",DATE(YEAR(A136),MONTH(A136),1))</f>
        <v/>
      </c>
      <c r="K136" s="61" t="n"/>
    </row>
    <row r="137">
      <c r="A137" s="60" t="n"/>
      <c r="B137" s="61" t="n"/>
      <c r="C137" s="61" t="n"/>
      <c r="D137" s="61" t="n"/>
      <c r="E137" s="62" t="n"/>
      <c r="F137" s="63">
        <f>IF(A137="","",Settings!$B$4)</f>
        <v/>
      </c>
      <c r="G137" s="62">
        <f>IF(E137="","",ROUND(E137*F137,2))</f>
        <v/>
      </c>
      <c r="H137" s="62">
        <f>IF(E137="","",E137+G137)</f>
        <v/>
      </c>
      <c r="I137" s="61" t="n"/>
      <c r="J137" s="64">
        <f>IF(A137="","",DATE(YEAR(A137),MONTH(A137),1))</f>
        <v/>
      </c>
      <c r="K137" s="61" t="n"/>
    </row>
    <row r="138">
      <c r="A138" s="60" t="n"/>
      <c r="B138" s="61" t="n"/>
      <c r="C138" s="61" t="n"/>
      <c r="D138" s="61" t="n"/>
      <c r="E138" s="62" t="n"/>
      <c r="F138" s="63">
        <f>IF(A138="","",Settings!$B$4)</f>
        <v/>
      </c>
      <c r="G138" s="62">
        <f>IF(E138="","",ROUND(E138*F138,2))</f>
        <v/>
      </c>
      <c r="H138" s="62">
        <f>IF(E138="","",E138+G138)</f>
        <v/>
      </c>
      <c r="I138" s="61" t="n"/>
      <c r="J138" s="64">
        <f>IF(A138="","",DATE(YEAR(A138),MONTH(A138),1))</f>
        <v/>
      </c>
      <c r="K138" s="61" t="n"/>
    </row>
    <row r="139">
      <c r="A139" s="60" t="n"/>
      <c r="B139" s="61" t="n"/>
      <c r="C139" s="61" t="n"/>
      <c r="D139" s="61" t="n"/>
      <c r="E139" s="62" t="n"/>
      <c r="F139" s="63">
        <f>IF(A139="","",Settings!$B$4)</f>
        <v/>
      </c>
      <c r="G139" s="62">
        <f>IF(E139="","",ROUND(E139*F139,2))</f>
        <v/>
      </c>
      <c r="H139" s="62">
        <f>IF(E139="","",E139+G139)</f>
        <v/>
      </c>
      <c r="I139" s="61" t="n"/>
      <c r="J139" s="64">
        <f>IF(A139="","",DATE(YEAR(A139),MONTH(A139),1))</f>
        <v/>
      </c>
      <c r="K139" s="61" t="n"/>
    </row>
    <row r="141">
      <c r="A141" s="58" t="inlineStr">
        <is>
          <t>July 2026 / เดือน Jul</t>
        </is>
      </c>
    </row>
    <row r="142">
      <c r="A142" s="59" t="inlineStr">
        <is>
          <t>วันที่</t>
        </is>
      </c>
      <c r="B142" s="59" t="inlineStr">
        <is>
          <t>เลขที่ใบกำกับ</t>
        </is>
      </c>
      <c r="C142" s="59" t="inlineStr">
        <is>
          <t>ลูกค้า</t>
        </is>
      </c>
      <c r="D142" s="59" t="inlineStr">
        <is>
          <t>รายละเอียด</t>
        </is>
      </c>
      <c r="E142" s="59" t="inlineStr">
        <is>
          <t>ยอดก่อน VAT</t>
        </is>
      </c>
      <c r="F142" s="59" t="inlineStr">
        <is>
          <t>อัตรา VAT</t>
        </is>
      </c>
      <c r="G142" s="59" t="inlineStr">
        <is>
          <t>ภาษีขาย</t>
        </is>
      </c>
      <c r="H142" s="59" t="inlineStr">
        <is>
          <t>ยอดรวม</t>
        </is>
      </c>
      <c r="I142" s="59" t="inlineStr">
        <is>
          <t>รับเงินแล้ว?</t>
        </is>
      </c>
      <c r="J142" s="59" t="inlineStr">
        <is>
          <t>เดือน</t>
        </is>
      </c>
      <c r="K142" s="59" t="inlineStr">
        <is>
          <t>หมายเหตุ</t>
        </is>
      </c>
    </row>
    <row r="143">
      <c r="A143" s="60" t="n"/>
      <c r="B143" s="61" t="n"/>
      <c r="C143" s="61" t="n"/>
      <c r="D143" s="61" t="n"/>
      <c r="E143" s="62" t="n"/>
      <c r="F143" s="63">
        <f>IF(A143="","",Settings!$B$4)</f>
        <v/>
      </c>
      <c r="G143" s="62">
        <f>IF(E143="","",ROUND(E143*F143,2))</f>
        <v/>
      </c>
      <c r="H143" s="62">
        <f>IF(E143="","",E143+G143)</f>
        <v/>
      </c>
      <c r="I143" s="61" t="n"/>
      <c r="J143" s="64">
        <f>IF(A143="","",DATE(YEAR(A143),MONTH(A143),1))</f>
        <v/>
      </c>
      <c r="K143" s="61" t="n"/>
    </row>
    <row r="144">
      <c r="A144" s="60" t="n"/>
      <c r="B144" s="61" t="n"/>
      <c r="C144" s="61" t="n"/>
      <c r="D144" s="61" t="n"/>
      <c r="E144" s="62" t="n"/>
      <c r="F144" s="63">
        <f>IF(A144="","",Settings!$B$4)</f>
        <v/>
      </c>
      <c r="G144" s="62">
        <f>IF(E144="","",ROUND(E144*F144,2))</f>
        <v/>
      </c>
      <c r="H144" s="62">
        <f>IF(E144="","",E144+G144)</f>
        <v/>
      </c>
      <c r="I144" s="61" t="n"/>
      <c r="J144" s="64">
        <f>IF(A144="","",DATE(YEAR(A144),MONTH(A144),1))</f>
        <v/>
      </c>
      <c r="K144" s="61" t="n"/>
    </row>
    <row r="145">
      <c r="A145" s="60" t="n"/>
      <c r="B145" s="61" t="n"/>
      <c r="C145" s="61" t="n"/>
      <c r="D145" s="61" t="n"/>
      <c r="E145" s="62" t="n"/>
      <c r="F145" s="63">
        <f>IF(A145="","",Settings!$B$4)</f>
        <v/>
      </c>
      <c r="G145" s="62">
        <f>IF(E145="","",ROUND(E145*F145,2))</f>
        <v/>
      </c>
      <c r="H145" s="62">
        <f>IF(E145="","",E145+G145)</f>
        <v/>
      </c>
      <c r="I145" s="61" t="n"/>
      <c r="J145" s="64">
        <f>IF(A145="","",DATE(YEAR(A145),MONTH(A145),1))</f>
        <v/>
      </c>
      <c r="K145" s="61" t="n"/>
    </row>
    <row r="146">
      <c r="A146" s="60" t="n"/>
      <c r="B146" s="61" t="n"/>
      <c r="C146" s="61" t="n"/>
      <c r="D146" s="61" t="n"/>
      <c r="E146" s="62" t="n"/>
      <c r="F146" s="63">
        <f>IF(A146="","",Settings!$B$4)</f>
        <v/>
      </c>
      <c r="G146" s="62">
        <f>IF(E146="","",ROUND(E146*F146,2))</f>
        <v/>
      </c>
      <c r="H146" s="62">
        <f>IF(E146="","",E146+G146)</f>
        <v/>
      </c>
      <c r="I146" s="61" t="n"/>
      <c r="J146" s="64">
        <f>IF(A146="","",DATE(YEAR(A146),MONTH(A146),1))</f>
        <v/>
      </c>
      <c r="K146" s="61" t="n"/>
    </row>
    <row r="147">
      <c r="A147" s="60" t="n"/>
      <c r="B147" s="61" t="n"/>
      <c r="C147" s="61" t="n"/>
      <c r="D147" s="61" t="n"/>
      <c r="E147" s="62" t="n"/>
      <c r="F147" s="63">
        <f>IF(A147="","",Settings!$B$4)</f>
        <v/>
      </c>
      <c r="G147" s="62">
        <f>IF(E147="","",ROUND(E147*F147,2))</f>
        <v/>
      </c>
      <c r="H147" s="62">
        <f>IF(E147="","",E147+G147)</f>
        <v/>
      </c>
      <c r="I147" s="61" t="n"/>
      <c r="J147" s="64">
        <f>IF(A147="","",DATE(YEAR(A147),MONTH(A147),1))</f>
        <v/>
      </c>
      <c r="K147" s="61" t="n"/>
    </row>
    <row r="148">
      <c r="A148" s="60" t="n"/>
      <c r="B148" s="61" t="n"/>
      <c r="C148" s="61" t="n"/>
      <c r="D148" s="61" t="n"/>
      <c r="E148" s="62" t="n"/>
      <c r="F148" s="63">
        <f>IF(A148="","",Settings!$B$4)</f>
        <v/>
      </c>
      <c r="G148" s="62">
        <f>IF(E148="","",ROUND(E148*F148,2))</f>
        <v/>
      </c>
      <c r="H148" s="62">
        <f>IF(E148="","",E148+G148)</f>
        <v/>
      </c>
      <c r="I148" s="61" t="n"/>
      <c r="J148" s="64">
        <f>IF(A148="","",DATE(YEAR(A148),MONTH(A148),1))</f>
        <v/>
      </c>
      <c r="K148" s="61" t="n"/>
    </row>
    <row r="149">
      <c r="A149" s="60" t="n"/>
      <c r="B149" s="61" t="n"/>
      <c r="C149" s="61" t="n"/>
      <c r="D149" s="61" t="n"/>
      <c r="E149" s="62" t="n"/>
      <c r="F149" s="63">
        <f>IF(A149="","",Settings!$B$4)</f>
        <v/>
      </c>
      <c r="G149" s="62">
        <f>IF(E149="","",ROUND(E149*F149,2))</f>
        <v/>
      </c>
      <c r="H149" s="62">
        <f>IF(E149="","",E149+G149)</f>
        <v/>
      </c>
      <c r="I149" s="61" t="n"/>
      <c r="J149" s="64">
        <f>IF(A149="","",DATE(YEAR(A149),MONTH(A149),1))</f>
        <v/>
      </c>
      <c r="K149" s="61" t="n"/>
    </row>
    <row r="150">
      <c r="A150" s="60" t="n"/>
      <c r="B150" s="61" t="n"/>
      <c r="C150" s="61" t="n"/>
      <c r="D150" s="61" t="n"/>
      <c r="E150" s="62" t="n"/>
      <c r="F150" s="63">
        <f>IF(A150="","",Settings!$B$4)</f>
        <v/>
      </c>
      <c r="G150" s="62">
        <f>IF(E150="","",ROUND(E150*F150,2))</f>
        <v/>
      </c>
      <c r="H150" s="62">
        <f>IF(E150="","",E150+G150)</f>
        <v/>
      </c>
      <c r="I150" s="61" t="n"/>
      <c r="J150" s="64">
        <f>IF(A150="","",DATE(YEAR(A150),MONTH(A150),1))</f>
        <v/>
      </c>
      <c r="K150" s="61" t="n"/>
    </row>
    <row r="151">
      <c r="A151" s="60" t="n"/>
      <c r="B151" s="61" t="n"/>
      <c r="C151" s="61" t="n"/>
      <c r="D151" s="61" t="n"/>
      <c r="E151" s="62" t="n"/>
      <c r="F151" s="63">
        <f>IF(A151="","",Settings!$B$4)</f>
        <v/>
      </c>
      <c r="G151" s="62">
        <f>IF(E151="","",ROUND(E151*F151,2))</f>
        <v/>
      </c>
      <c r="H151" s="62">
        <f>IF(E151="","",E151+G151)</f>
        <v/>
      </c>
      <c r="I151" s="61" t="n"/>
      <c r="J151" s="64">
        <f>IF(A151="","",DATE(YEAR(A151),MONTH(A151),1))</f>
        <v/>
      </c>
      <c r="K151" s="61" t="n"/>
    </row>
    <row r="152">
      <c r="A152" s="60" t="n"/>
      <c r="B152" s="61" t="n"/>
      <c r="C152" s="61" t="n"/>
      <c r="D152" s="61" t="n"/>
      <c r="E152" s="62" t="n"/>
      <c r="F152" s="63">
        <f>IF(A152="","",Settings!$B$4)</f>
        <v/>
      </c>
      <c r="G152" s="62">
        <f>IF(E152="","",ROUND(E152*F152,2))</f>
        <v/>
      </c>
      <c r="H152" s="62">
        <f>IF(E152="","",E152+G152)</f>
        <v/>
      </c>
      <c r="I152" s="61" t="n"/>
      <c r="J152" s="64">
        <f>IF(A152="","",DATE(YEAR(A152),MONTH(A152),1))</f>
        <v/>
      </c>
      <c r="K152" s="61" t="n"/>
    </row>
    <row r="153">
      <c r="A153" s="60" t="n"/>
      <c r="B153" s="61" t="n"/>
      <c r="C153" s="61" t="n"/>
      <c r="D153" s="61" t="n"/>
      <c r="E153" s="62" t="n"/>
      <c r="F153" s="63">
        <f>IF(A153="","",Settings!$B$4)</f>
        <v/>
      </c>
      <c r="G153" s="62">
        <f>IF(E153="","",ROUND(E153*F153,2))</f>
        <v/>
      </c>
      <c r="H153" s="62">
        <f>IF(E153="","",E153+G153)</f>
        <v/>
      </c>
      <c r="I153" s="61" t="n"/>
      <c r="J153" s="64">
        <f>IF(A153="","",DATE(YEAR(A153),MONTH(A153),1))</f>
        <v/>
      </c>
      <c r="K153" s="61" t="n"/>
    </row>
    <row r="154">
      <c r="A154" s="60" t="n"/>
      <c r="B154" s="61" t="n"/>
      <c r="C154" s="61" t="n"/>
      <c r="D154" s="61" t="n"/>
      <c r="E154" s="62" t="n"/>
      <c r="F154" s="63">
        <f>IF(A154="","",Settings!$B$4)</f>
        <v/>
      </c>
      <c r="G154" s="62">
        <f>IF(E154="","",ROUND(E154*F154,2))</f>
        <v/>
      </c>
      <c r="H154" s="62">
        <f>IF(E154="","",E154+G154)</f>
        <v/>
      </c>
      <c r="I154" s="61" t="n"/>
      <c r="J154" s="64">
        <f>IF(A154="","",DATE(YEAR(A154),MONTH(A154),1))</f>
        <v/>
      </c>
      <c r="K154" s="61" t="n"/>
    </row>
    <row r="155">
      <c r="A155" s="60" t="n"/>
      <c r="B155" s="61" t="n"/>
      <c r="C155" s="61" t="n"/>
      <c r="D155" s="61" t="n"/>
      <c r="E155" s="62" t="n"/>
      <c r="F155" s="63">
        <f>IF(A155="","",Settings!$B$4)</f>
        <v/>
      </c>
      <c r="G155" s="62">
        <f>IF(E155="","",ROUND(E155*F155,2))</f>
        <v/>
      </c>
      <c r="H155" s="62">
        <f>IF(E155="","",E155+G155)</f>
        <v/>
      </c>
      <c r="I155" s="61" t="n"/>
      <c r="J155" s="64">
        <f>IF(A155="","",DATE(YEAR(A155),MONTH(A155),1))</f>
        <v/>
      </c>
      <c r="K155" s="61" t="n"/>
    </row>
    <row r="156">
      <c r="A156" s="60" t="n"/>
      <c r="B156" s="61" t="n"/>
      <c r="C156" s="61" t="n"/>
      <c r="D156" s="61" t="n"/>
      <c r="E156" s="62" t="n"/>
      <c r="F156" s="63">
        <f>IF(A156="","",Settings!$B$4)</f>
        <v/>
      </c>
      <c r="G156" s="62">
        <f>IF(E156="","",ROUND(E156*F156,2))</f>
        <v/>
      </c>
      <c r="H156" s="62">
        <f>IF(E156="","",E156+G156)</f>
        <v/>
      </c>
      <c r="I156" s="61" t="n"/>
      <c r="J156" s="64">
        <f>IF(A156="","",DATE(YEAR(A156),MONTH(A156),1))</f>
        <v/>
      </c>
      <c r="K156" s="61" t="n"/>
    </row>
    <row r="157">
      <c r="A157" s="60" t="n"/>
      <c r="B157" s="61" t="n"/>
      <c r="C157" s="61" t="n"/>
      <c r="D157" s="61" t="n"/>
      <c r="E157" s="62" t="n"/>
      <c r="F157" s="63">
        <f>IF(A157="","",Settings!$B$4)</f>
        <v/>
      </c>
      <c r="G157" s="62">
        <f>IF(E157="","",ROUND(E157*F157,2))</f>
        <v/>
      </c>
      <c r="H157" s="62">
        <f>IF(E157="","",E157+G157)</f>
        <v/>
      </c>
      <c r="I157" s="61" t="n"/>
      <c r="J157" s="64">
        <f>IF(A157="","",DATE(YEAR(A157),MONTH(A157),1))</f>
        <v/>
      </c>
      <c r="K157" s="61" t="n"/>
    </row>
    <row r="158">
      <c r="A158" s="60" t="n"/>
      <c r="B158" s="61" t="n"/>
      <c r="C158" s="61" t="n"/>
      <c r="D158" s="61" t="n"/>
      <c r="E158" s="62" t="n"/>
      <c r="F158" s="63">
        <f>IF(A158="","",Settings!$B$4)</f>
        <v/>
      </c>
      <c r="G158" s="62">
        <f>IF(E158="","",ROUND(E158*F158,2))</f>
        <v/>
      </c>
      <c r="H158" s="62">
        <f>IF(E158="","",E158+G158)</f>
        <v/>
      </c>
      <c r="I158" s="61" t="n"/>
      <c r="J158" s="64">
        <f>IF(A158="","",DATE(YEAR(A158),MONTH(A158),1))</f>
        <v/>
      </c>
      <c r="K158" s="61" t="n"/>
    </row>
    <row r="159">
      <c r="A159" s="60" t="n"/>
      <c r="B159" s="61" t="n"/>
      <c r="C159" s="61" t="n"/>
      <c r="D159" s="61" t="n"/>
      <c r="E159" s="62" t="n"/>
      <c r="F159" s="63">
        <f>IF(A159="","",Settings!$B$4)</f>
        <v/>
      </c>
      <c r="G159" s="62">
        <f>IF(E159="","",ROUND(E159*F159,2))</f>
        <v/>
      </c>
      <c r="H159" s="62">
        <f>IF(E159="","",E159+G159)</f>
        <v/>
      </c>
      <c r="I159" s="61" t="n"/>
      <c r="J159" s="64">
        <f>IF(A159="","",DATE(YEAR(A159),MONTH(A159),1))</f>
        <v/>
      </c>
      <c r="K159" s="61" t="n"/>
    </row>
    <row r="160">
      <c r="A160" s="60" t="n"/>
      <c r="B160" s="61" t="n"/>
      <c r="C160" s="61" t="n"/>
      <c r="D160" s="61" t="n"/>
      <c r="E160" s="62" t="n"/>
      <c r="F160" s="63">
        <f>IF(A160="","",Settings!$B$4)</f>
        <v/>
      </c>
      <c r="G160" s="62">
        <f>IF(E160="","",ROUND(E160*F160,2))</f>
        <v/>
      </c>
      <c r="H160" s="62">
        <f>IF(E160="","",E160+G160)</f>
        <v/>
      </c>
      <c r="I160" s="61" t="n"/>
      <c r="J160" s="64">
        <f>IF(A160="","",DATE(YEAR(A160),MONTH(A160),1))</f>
        <v/>
      </c>
      <c r="K160" s="61" t="n"/>
    </row>
    <row r="161">
      <c r="A161" s="60" t="n"/>
      <c r="B161" s="61" t="n"/>
      <c r="C161" s="61" t="n"/>
      <c r="D161" s="61" t="n"/>
      <c r="E161" s="62" t="n"/>
      <c r="F161" s="63">
        <f>IF(A161="","",Settings!$B$4)</f>
        <v/>
      </c>
      <c r="G161" s="62">
        <f>IF(E161="","",ROUND(E161*F161,2))</f>
        <v/>
      </c>
      <c r="H161" s="62">
        <f>IF(E161="","",E161+G161)</f>
        <v/>
      </c>
      <c r="I161" s="61" t="n"/>
      <c r="J161" s="64">
        <f>IF(A161="","",DATE(YEAR(A161),MONTH(A161),1))</f>
        <v/>
      </c>
      <c r="K161" s="61" t="n"/>
    </row>
    <row r="162">
      <c r="A162" s="60" t="n"/>
      <c r="B162" s="61" t="n"/>
      <c r="C162" s="61" t="n"/>
      <c r="D162" s="61" t="n"/>
      <c r="E162" s="62" t="n"/>
      <c r="F162" s="63">
        <f>IF(A162="","",Settings!$B$4)</f>
        <v/>
      </c>
      <c r="G162" s="62">
        <f>IF(E162="","",ROUND(E162*F162,2))</f>
        <v/>
      </c>
      <c r="H162" s="62">
        <f>IF(E162="","",E162+G162)</f>
        <v/>
      </c>
      <c r="I162" s="61" t="n"/>
      <c r="J162" s="64">
        <f>IF(A162="","",DATE(YEAR(A162),MONTH(A162),1))</f>
        <v/>
      </c>
      <c r="K162" s="61" t="n"/>
    </row>
    <row r="164">
      <c r="A164" s="58" t="inlineStr">
        <is>
          <t>August 2026 / เดือน Aug</t>
        </is>
      </c>
    </row>
    <row r="165">
      <c r="A165" s="59" t="inlineStr">
        <is>
          <t>วันที่</t>
        </is>
      </c>
      <c r="B165" s="59" t="inlineStr">
        <is>
          <t>เลขที่ใบกำกับ</t>
        </is>
      </c>
      <c r="C165" s="59" t="inlineStr">
        <is>
          <t>ลูกค้า</t>
        </is>
      </c>
      <c r="D165" s="59" t="inlineStr">
        <is>
          <t>รายละเอียด</t>
        </is>
      </c>
      <c r="E165" s="59" t="inlineStr">
        <is>
          <t>ยอดก่อน VAT</t>
        </is>
      </c>
      <c r="F165" s="59" t="inlineStr">
        <is>
          <t>อัตรา VAT</t>
        </is>
      </c>
      <c r="G165" s="59" t="inlineStr">
        <is>
          <t>ภาษีขาย</t>
        </is>
      </c>
      <c r="H165" s="59" t="inlineStr">
        <is>
          <t>ยอดรวม</t>
        </is>
      </c>
      <c r="I165" s="59" t="inlineStr">
        <is>
          <t>รับเงินแล้ว?</t>
        </is>
      </c>
      <c r="J165" s="59" t="inlineStr">
        <is>
          <t>เดือน</t>
        </is>
      </c>
      <c r="K165" s="59" t="inlineStr">
        <is>
          <t>หมายเหตุ</t>
        </is>
      </c>
    </row>
    <row r="166">
      <c r="A166" s="60" t="n"/>
      <c r="B166" s="61" t="n"/>
      <c r="C166" s="61" t="n"/>
      <c r="D166" s="61" t="n"/>
      <c r="E166" s="62" t="n"/>
      <c r="F166" s="63">
        <f>IF(A166="","",Settings!$B$4)</f>
        <v/>
      </c>
      <c r="G166" s="62">
        <f>IF(E166="","",ROUND(E166*F166,2))</f>
        <v/>
      </c>
      <c r="H166" s="62">
        <f>IF(E166="","",E166+G166)</f>
        <v/>
      </c>
      <c r="I166" s="61" t="n"/>
      <c r="J166" s="64">
        <f>IF(A166="","",DATE(YEAR(A166),MONTH(A166),1))</f>
        <v/>
      </c>
      <c r="K166" s="61" t="n"/>
    </row>
    <row r="167">
      <c r="A167" s="60" t="n"/>
      <c r="B167" s="61" t="n"/>
      <c r="C167" s="61" t="n"/>
      <c r="D167" s="61" t="n"/>
      <c r="E167" s="62" t="n"/>
      <c r="F167" s="63">
        <f>IF(A167="","",Settings!$B$4)</f>
        <v/>
      </c>
      <c r="G167" s="62">
        <f>IF(E167="","",ROUND(E167*F167,2))</f>
        <v/>
      </c>
      <c r="H167" s="62">
        <f>IF(E167="","",E167+G167)</f>
        <v/>
      </c>
      <c r="I167" s="61" t="n"/>
      <c r="J167" s="64">
        <f>IF(A167="","",DATE(YEAR(A167),MONTH(A167),1))</f>
        <v/>
      </c>
      <c r="K167" s="61" t="n"/>
    </row>
    <row r="168">
      <c r="A168" s="60" t="n"/>
      <c r="B168" s="61" t="n"/>
      <c r="C168" s="61" t="n"/>
      <c r="D168" s="61" t="n"/>
      <c r="E168" s="62" t="n"/>
      <c r="F168" s="63">
        <f>IF(A168="","",Settings!$B$4)</f>
        <v/>
      </c>
      <c r="G168" s="62">
        <f>IF(E168="","",ROUND(E168*F168,2))</f>
        <v/>
      </c>
      <c r="H168" s="62">
        <f>IF(E168="","",E168+G168)</f>
        <v/>
      </c>
      <c r="I168" s="61" t="n"/>
      <c r="J168" s="64">
        <f>IF(A168="","",DATE(YEAR(A168),MONTH(A168),1))</f>
        <v/>
      </c>
      <c r="K168" s="61" t="n"/>
    </row>
    <row r="169">
      <c r="A169" s="60" t="n"/>
      <c r="B169" s="61" t="n"/>
      <c r="C169" s="61" t="n"/>
      <c r="D169" s="61" t="n"/>
      <c r="E169" s="62" t="n"/>
      <c r="F169" s="63">
        <f>IF(A169="","",Settings!$B$4)</f>
        <v/>
      </c>
      <c r="G169" s="62">
        <f>IF(E169="","",ROUND(E169*F169,2))</f>
        <v/>
      </c>
      <c r="H169" s="62">
        <f>IF(E169="","",E169+G169)</f>
        <v/>
      </c>
      <c r="I169" s="61" t="n"/>
      <c r="J169" s="64">
        <f>IF(A169="","",DATE(YEAR(A169),MONTH(A169),1))</f>
        <v/>
      </c>
      <c r="K169" s="61" t="n"/>
    </row>
    <row r="170">
      <c r="A170" s="60" t="n"/>
      <c r="B170" s="61" t="n"/>
      <c r="C170" s="61" t="n"/>
      <c r="D170" s="61" t="n"/>
      <c r="E170" s="62" t="n"/>
      <c r="F170" s="63">
        <f>IF(A170="","",Settings!$B$4)</f>
        <v/>
      </c>
      <c r="G170" s="62">
        <f>IF(E170="","",ROUND(E170*F170,2))</f>
        <v/>
      </c>
      <c r="H170" s="62">
        <f>IF(E170="","",E170+G170)</f>
        <v/>
      </c>
      <c r="I170" s="61" t="n"/>
      <c r="J170" s="64">
        <f>IF(A170="","",DATE(YEAR(A170),MONTH(A170),1))</f>
        <v/>
      </c>
      <c r="K170" s="61" t="n"/>
    </row>
    <row r="171">
      <c r="A171" s="60" t="n"/>
      <c r="B171" s="61" t="n"/>
      <c r="C171" s="61" t="n"/>
      <c r="D171" s="61" t="n"/>
      <c r="E171" s="62" t="n"/>
      <c r="F171" s="63">
        <f>IF(A171="","",Settings!$B$4)</f>
        <v/>
      </c>
      <c r="G171" s="62">
        <f>IF(E171="","",ROUND(E171*F171,2))</f>
        <v/>
      </c>
      <c r="H171" s="62">
        <f>IF(E171="","",E171+G171)</f>
        <v/>
      </c>
      <c r="I171" s="61" t="n"/>
      <c r="J171" s="64">
        <f>IF(A171="","",DATE(YEAR(A171),MONTH(A171),1))</f>
        <v/>
      </c>
      <c r="K171" s="61" t="n"/>
    </row>
    <row r="172">
      <c r="A172" s="60" t="n"/>
      <c r="B172" s="61" t="n"/>
      <c r="C172" s="61" t="n"/>
      <c r="D172" s="61" t="n"/>
      <c r="E172" s="62" t="n"/>
      <c r="F172" s="63">
        <f>IF(A172="","",Settings!$B$4)</f>
        <v/>
      </c>
      <c r="G172" s="62">
        <f>IF(E172="","",ROUND(E172*F172,2))</f>
        <v/>
      </c>
      <c r="H172" s="62">
        <f>IF(E172="","",E172+G172)</f>
        <v/>
      </c>
      <c r="I172" s="61" t="n"/>
      <c r="J172" s="64">
        <f>IF(A172="","",DATE(YEAR(A172),MONTH(A172),1))</f>
        <v/>
      </c>
      <c r="K172" s="61" t="n"/>
    </row>
    <row r="173">
      <c r="A173" s="60" t="n"/>
      <c r="B173" s="61" t="n"/>
      <c r="C173" s="61" t="n"/>
      <c r="D173" s="61" t="n"/>
      <c r="E173" s="62" t="n"/>
      <c r="F173" s="63">
        <f>IF(A173="","",Settings!$B$4)</f>
        <v/>
      </c>
      <c r="G173" s="62">
        <f>IF(E173="","",ROUND(E173*F173,2))</f>
        <v/>
      </c>
      <c r="H173" s="62">
        <f>IF(E173="","",E173+G173)</f>
        <v/>
      </c>
      <c r="I173" s="61" t="n"/>
      <c r="J173" s="64">
        <f>IF(A173="","",DATE(YEAR(A173),MONTH(A173),1))</f>
        <v/>
      </c>
      <c r="K173" s="61" t="n"/>
    </row>
    <row r="174">
      <c r="A174" s="60" t="n"/>
      <c r="B174" s="61" t="n"/>
      <c r="C174" s="61" t="n"/>
      <c r="D174" s="61" t="n"/>
      <c r="E174" s="62" t="n"/>
      <c r="F174" s="63">
        <f>IF(A174="","",Settings!$B$4)</f>
        <v/>
      </c>
      <c r="G174" s="62">
        <f>IF(E174="","",ROUND(E174*F174,2))</f>
        <v/>
      </c>
      <c r="H174" s="62">
        <f>IF(E174="","",E174+G174)</f>
        <v/>
      </c>
      <c r="I174" s="61" t="n"/>
      <c r="J174" s="64">
        <f>IF(A174="","",DATE(YEAR(A174),MONTH(A174),1))</f>
        <v/>
      </c>
      <c r="K174" s="61" t="n"/>
    </row>
    <row r="175">
      <c r="A175" s="60" t="n"/>
      <c r="B175" s="61" t="n"/>
      <c r="C175" s="61" t="n"/>
      <c r="D175" s="61" t="n"/>
      <c r="E175" s="62" t="n"/>
      <c r="F175" s="63">
        <f>IF(A175="","",Settings!$B$4)</f>
        <v/>
      </c>
      <c r="G175" s="62">
        <f>IF(E175="","",ROUND(E175*F175,2))</f>
        <v/>
      </c>
      <c r="H175" s="62">
        <f>IF(E175="","",E175+G175)</f>
        <v/>
      </c>
      <c r="I175" s="61" t="n"/>
      <c r="J175" s="64">
        <f>IF(A175="","",DATE(YEAR(A175),MONTH(A175),1))</f>
        <v/>
      </c>
      <c r="K175" s="61" t="n"/>
    </row>
    <row r="176">
      <c r="A176" s="60" t="n"/>
      <c r="B176" s="61" t="n"/>
      <c r="C176" s="61" t="n"/>
      <c r="D176" s="61" t="n"/>
      <c r="E176" s="62" t="n"/>
      <c r="F176" s="63">
        <f>IF(A176="","",Settings!$B$4)</f>
        <v/>
      </c>
      <c r="G176" s="62">
        <f>IF(E176="","",ROUND(E176*F176,2))</f>
        <v/>
      </c>
      <c r="H176" s="62">
        <f>IF(E176="","",E176+G176)</f>
        <v/>
      </c>
      <c r="I176" s="61" t="n"/>
      <c r="J176" s="64">
        <f>IF(A176="","",DATE(YEAR(A176),MONTH(A176),1))</f>
        <v/>
      </c>
      <c r="K176" s="61" t="n"/>
    </row>
    <row r="177">
      <c r="A177" s="60" t="n"/>
      <c r="B177" s="61" t="n"/>
      <c r="C177" s="61" t="n"/>
      <c r="D177" s="61" t="n"/>
      <c r="E177" s="62" t="n"/>
      <c r="F177" s="63">
        <f>IF(A177="","",Settings!$B$4)</f>
        <v/>
      </c>
      <c r="G177" s="62">
        <f>IF(E177="","",ROUND(E177*F177,2))</f>
        <v/>
      </c>
      <c r="H177" s="62">
        <f>IF(E177="","",E177+G177)</f>
        <v/>
      </c>
      <c r="I177" s="61" t="n"/>
      <c r="J177" s="64">
        <f>IF(A177="","",DATE(YEAR(A177),MONTH(A177),1))</f>
        <v/>
      </c>
      <c r="K177" s="61" t="n"/>
    </row>
    <row r="178">
      <c r="A178" s="60" t="n"/>
      <c r="B178" s="61" t="n"/>
      <c r="C178" s="61" t="n"/>
      <c r="D178" s="61" t="n"/>
      <c r="E178" s="62" t="n"/>
      <c r="F178" s="63">
        <f>IF(A178="","",Settings!$B$4)</f>
        <v/>
      </c>
      <c r="G178" s="62">
        <f>IF(E178="","",ROUND(E178*F178,2))</f>
        <v/>
      </c>
      <c r="H178" s="62">
        <f>IF(E178="","",E178+G178)</f>
        <v/>
      </c>
      <c r="I178" s="61" t="n"/>
      <c r="J178" s="64">
        <f>IF(A178="","",DATE(YEAR(A178),MONTH(A178),1))</f>
        <v/>
      </c>
      <c r="K178" s="61" t="n"/>
    </row>
    <row r="179">
      <c r="A179" s="60" t="n"/>
      <c r="B179" s="61" t="n"/>
      <c r="C179" s="61" t="n"/>
      <c r="D179" s="61" t="n"/>
      <c r="E179" s="62" t="n"/>
      <c r="F179" s="63">
        <f>IF(A179="","",Settings!$B$4)</f>
        <v/>
      </c>
      <c r="G179" s="62">
        <f>IF(E179="","",ROUND(E179*F179,2))</f>
        <v/>
      </c>
      <c r="H179" s="62">
        <f>IF(E179="","",E179+G179)</f>
        <v/>
      </c>
      <c r="I179" s="61" t="n"/>
      <c r="J179" s="64">
        <f>IF(A179="","",DATE(YEAR(A179),MONTH(A179),1))</f>
        <v/>
      </c>
      <c r="K179" s="61" t="n"/>
    </row>
    <row r="180">
      <c r="A180" s="60" t="n"/>
      <c r="B180" s="61" t="n"/>
      <c r="C180" s="61" t="n"/>
      <c r="D180" s="61" t="n"/>
      <c r="E180" s="62" t="n"/>
      <c r="F180" s="63">
        <f>IF(A180="","",Settings!$B$4)</f>
        <v/>
      </c>
      <c r="G180" s="62">
        <f>IF(E180="","",ROUND(E180*F180,2))</f>
        <v/>
      </c>
      <c r="H180" s="62">
        <f>IF(E180="","",E180+G180)</f>
        <v/>
      </c>
      <c r="I180" s="61" t="n"/>
      <c r="J180" s="64">
        <f>IF(A180="","",DATE(YEAR(A180),MONTH(A180),1))</f>
        <v/>
      </c>
      <c r="K180" s="61" t="n"/>
    </row>
    <row r="181">
      <c r="A181" s="60" t="n"/>
      <c r="B181" s="61" t="n"/>
      <c r="C181" s="61" t="n"/>
      <c r="D181" s="61" t="n"/>
      <c r="E181" s="62" t="n"/>
      <c r="F181" s="63">
        <f>IF(A181="","",Settings!$B$4)</f>
        <v/>
      </c>
      <c r="G181" s="62">
        <f>IF(E181="","",ROUND(E181*F181,2))</f>
        <v/>
      </c>
      <c r="H181" s="62">
        <f>IF(E181="","",E181+G181)</f>
        <v/>
      </c>
      <c r="I181" s="61" t="n"/>
      <c r="J181" s="64">
        <f>IF(A181="","",DATE(YEAR(A181),MONTH(A181),1))</f>
        <v/>
      </c>
      <c r="K181" s="61" t="n"/>
    </row>
    <row r="182">
      <c r="A182" s="60" t="n"/>
      <c r="B182" s="61" t="n"/>
      <c r="C182" s="61" t="n"/>
      <c r="D182" s="61" t="n"/>
      <c r="E182" s="62" t="n"/>
      <c r="F182" s="63">
        <f>IF(A182="","",Settings!$B$4)</f>
        <v/>
      </c>
      <c r="G182" s="62">
        <f>IF(E182="","",ROUND(E182*F182,2))</f>
        <v/>
      </c>
      <c r="H182" s="62">
        <f>IF(E182="","",E182+G182)</f>
        <v/>
      </c>
      <c r="I182" s="61" t="n"/>
      <c r="J182" s="64">
        <f>IF(A182="","",DATE(YEAR(A182),MONTH(A182),1))</f>
        <v/>
      </c>
      <c r="K182" s="61" t="n"/>
    </row>
    <row r="183">
      <c r="A183" s="60" t="n"/>
      <c r="B183" s="61" t="n"/>
      <c r="C183" s="61" t="n"/>
      <c r="D183" s="61" t="n"/>
      <c r="E183" s="62" t="n"/>
      <c r="F183" s="63">
        <f>IF(A183="","",Settings!$B$4)</f>
        <v/>
      </c>
      <c r="G183" s="62">
        <f>IF(E183="","",ROUND(E183*F183,2))</f>
        <v/>
      </c>
      <c r="H183" s="62">
        <f>IF(E183="","",E183+G183)</f>
        <v/>
      </c>
      <c r="I183" s="61" t="n"/>
      <c r="J183" s="64">
        <f>IF(A183="","",DATE(YEAR(A183),MONTH(A183),1))</f>
        <v/>
      </c>
      <c r="K183" s="61" t="n"/>
    </row>
    <row r="184">
      <c r="A184" s="60" t="n"/>
      <c r="B184" s="61" t="n"/>
      <c r="C184" s="61" t="n"/>
      <c r="D184" s="61" t="n"/>
      <c r="E184" s="62" t="n"/>
      <c r="F184" s="63">
        <f>IF(A184="","",Settings!$B$4)</f>
        <v/>
      </c>
      <c r="G184" s="62">
        <f>IF(E184="","",ROUND(E184*F184,2))</f>
        <v/>
      </c>
      <c r="H184" s="62">
        <f>IF(E184="","",E184+G184)</f>
        <v/>
      </c>
      <c r="I184" s="61" t="n"/>
      <c r="J184" s="64">
        <f>IF(A184="","",DATE(YEAR(A184),MONTH(A184),1))</f>
        <v/>
      </c>
      <c r="K184" s="61" t="n"/>
    </row>
    <row r="185">
      <c r="A185" s="60" t="n"/>
      <c r="B185" s="61" t="n"/>
      <c r="C185" s="61" t="n"/>
      <c r="D185" s="61" t="n"/>
      <c r="E185" s="62" t="n"/>
      <c r="F185" s="63">
        <f>IF(A185="","",Settings!$B$4)</f>
        <v/>
      </c>
      <c r="G185" s="62">
        <f>IF(E185="","",ROUND(E185*F185,2))</f>
        <v/>
      </c>
      <c r="H185" s="62">
        <f>IF(E185="","",E185+G185)</f>
        <v/>
      </c>
      <c r="I185" s="61" t="n"/>
      <c r="J185" s="64">
        <f>IF(A185="","",DATE(YEAR(A185),MONTH(A185),1))</f>
        <v/>
      </c>
      <c r="K185" s="61" t="n"/>
    </row>
    <row r="187">
      <c r="A187" s="58" t="inlineStr">
        <is>
          <t>September 2026 / เดือน Sep</t>
        </is>
      </c>
    </row>
    <row r="188">
      <c r="A188" s="59" t="inlineStr">
        <is>
          <t>วันที่</t>
        </is>
      </c>
      <c r="B188" s="59" t="inlineStr">
        <is>
          <t>เลขที่ใบกำกับ</t>
        </is>
      </c>
      <c r="C188" s="59" t="inlineStr">
        <is>
          <t>ลูกค้า</t>
        </is>
      </c>
      <c r="D188" s="59" t="inlineStr">
        <is>
          <t>รายละเอียด</t>
        </is>
      </c>
      <c r="E188" s="59" t="inlineStr">
        <is>
          <t>ยอดก่อน VAT</t>
        </is>
      </c>
      <c r="F188" s="59" t="inlineStr">
        <is>
          <t>อัตรา VAT</t>
        </is>
      </c>
      <c r="G188" s="59" t="inlineStr">
        <is>
          <t>ภาษีขาย</t>
        </is>
      </c>
      <c r="H188" s="59" t="inlineStr">
        <is>
          <t>ยอดรวม</t>
        </is>
      </c>
      <c r="I188" s="59" t="inlineStr">
        <is>
          <t>รับเงินแล้ว?</t>
        </is>
      </c>
      <c r="J188" s="59" t="inlineStr">
        <is>
          <t>เดือน</t>
        </is>
      </c>
      <c r="K188" s="59" t="inlineStr">
        <is>
          <t>หมายเหตุ</t>
        </is>
      </c>
    </row>
    <row r="189">
      <c r="A189" s="60" t="n"/>
      <c r="B189" s="61" t="n"/>
      <c r="C189" s="61" t="n"/>
      <c r="D189" s="61" t="n"/>
      <c r="E189" s="62" t="n"/>
      <c r="F189" s="63">
        <f>IF(A189="","",Settings!$B$4)</f>
        <v/>
      </c>
      <c r="G189" s="62">
        <f>IF(E189="","",ROUND(E189*F189,2))</f>
        <v/>
      </c>
      <c r="H189" s="62">
        <f>IF(E189="","",E189+G189)</f>
        <v/>
      </c>
      <c r="I189" s="61" t="n"/>
      <c r="J189" s="64">
        <f>IF(A189="","",DATE(YEAR(A189),MONTH(A189),1))</f>
        <v/>
      </c>
      <c r="K189" s="61" t="n"/>
    </row>
    <row r="190">
      <c r="A190" s="60" t="n"/>
      <c r="B190" s="61" t="n"/>
      <c r="C190" s="61" t="n"/>
      <c r="D190" s="61" t="n"/>
      <c r="E190" s="62" t="n"/>
      <c r="F190" s="63">
        <f>IF(A190="","",Settings!$B$4)</f>
        <v/>
      </c>
      <c r="G190" s="62">
        <f>IF(E190="","",ROUND(E190*F190,2))</f>
        <v/>
      </c>
      <c r="H190" s="62">
        <f>IF(E190="","",E190+G190)</f>
        <v/>
      </c>
      <c r="I190" s="61" t="n"/>
      <c r="J190" s="64">
        <f>IF(A190="","",DATE(YEAR(A190),MONTH(A190),1))</f>
        <v/>
      </c>
      <c r="K190" s="61" t="n"/>
    </row>
    <row r="191">
      <c r="A191" s="60" t="n"/>
      <c r="B191" s="61" t="n"/>
      <c r="C191" s="61" t="n"/>
      <c r="D191" s="61" t="n"/>
      <c r="E191" s="62" t="n"/>
      <c r="F191" s="63">
        <f>IF(A191="","",Settings!$B$4)</f>
        <v/>
      </c>
      <c r="G191" s="62">
        <f>IF(E191="","",ROUND(E191*F191,2))</f>
        <v/>
      </c>
      <c r="H191" s="62">
        <f>IF(E191="","",E191+G191)</f>
        <v/>
      </c>
      <c r="I191" s="61" t="n"/>
      <c r="J191" s="64">
        <f>IF(A191="","",DATE(YEAR(A191),MONTH(A191),1))</f>
        <v/>
      </c>
      <c r="K191" s="61" t="n"/>
    </row>
    <row r="192">
      <c r="A192" s="60" t="n"/>
      <c r="B192" s="61" t="n"/>
      <c r="C192" s="61" t="n"/>
      <c r="D192" s="61" t="n"/>
      <c r="E192" s="62" t="n"/>
      <c r="F192" s="63">
        <f>IF(A192="","",Settings!$B$4)</f>
        <v/>
      </c>
      <c r="G192" s="62">
        <f>IF(E192="","",ROUND(E192*F192,2))</f>
        <v/>
      </c>
      <c r="H192" s="62">
        <f>IF(E192="","",E192+G192)</f>
        <v/>
      </c>
      <c r="I192" s="61" t="n"/>
      <c r="J192" s="64">
        <f>IF(A192="","",DATE(YEAR(A192),MONTH(A192),1))</f>
        <v/>
      </c>
      <c r="K192" s="61" t="n"/>
    </row>
    <row r="193">
      <c r="A193" s="60" t="n"/>
      <c r="B193" s="61" t="n"/>
      <c r="C193" s="61" t="n"/>
      <c r="D193" s="61" t="n"/>
      <c r="E193" s="62" t="n"/>
      <c r="F193" s="63">
        <f>IF(A193="","",Settings!$B$4)</f>
        <v/>
      </c>
      <c r="G193" s="62">
        <f>IF(E193="","",ROUND(E193*F193,2))</f>
        <v/>
      </c>
      <c r="H193" s="62">
        <f>IF(E193="","",E193+G193)</f>
        <v/>
      </c>
      <c r="I193" s="61" t="n"/>
      <c r="J193" s="64">
        <f>IF(A193="","",DATE(YEAR(A193),MONTH(A193),1))</f>
        <v/>
      </c>
      <c r="K193" s="61" t="n"/>
    </row>
    <row r="194">
      <c r="A194" s="60" t="n"/>
      <c r="B194" s="61" t="n"/>
      <c r="C194" s="61" t="n"/>
      <c r="D194" s="61" t="n"/>
      <c r="E194" s="62" t="n"/>
      <c r="F194" s="63">
        <f>IF(A194="","",Settings!$B$4)</f>
        <v/>
      </c>
      <c r="G194" s="62">
        <f>IF(E194="","",ROUND(E194*F194,2))</f>
        <v/>
      </c>
      <c r="H194" s="62">
        <f>IF(E194="","",E194+G194)</f>
        <v/>
      </c>
      <c r="I194" s="61" t="n"/>
      <c r="J194" s="64">
        <f>IF(A194="","",DATE(YEAR(A194),MONTH(A194),1))</f>
        <v/>
      </c>
      <c r="K194" s="61" t="n"/>
    </row>
    <row r="195">
      <c r="A195" s="60" t="n"/>
      <c r="B195" s="61" t="n"/>
      <c r="C195" s="61" t="n"/>
      <c r="D195" s="61" t="n"/>
      <c r="E195" s="62" t="n"/>
      <c r="F195" s="63">
        <f>IF(A195="","",Settings!$B$4)</f>
        <v/>
      </c>
      <c r="G195" s="62">
        <f>IF(E195="","",ROUND(E195*F195,2))</f>
        <v/>
      </c>
      <c r="H195" s="62">
        <f>IF(E195="","",E195+G195)</f>
        <v/>
      </c>
      <c r="I195" s="61" t="n"/>
      <c r="J195" s="64">
        <f>IF(A195="","",DATE(YEAR(A195),MONTH(A195),1))</f>
        <v/>
      </c>
      <c r="K195" s="61" t="n"/>
    </row>
    <row r="196">
      <c r="A196" s="60" t="n"/>
      <c r="B196" s="61" t="n"/>
      <c r="C196" s="61" t="n"/>
      <c r="D196" s="61" t="n"/>
      <c r="E196" s="62" t="n"/>
      <c r="F196" s="63">
        <f>IF(A196="","",Settings!$B$4)</f>
        <v/>
      </c>
      <c r="G196" s="62">
        <f>IF(E196="","",ROUND(E196*F196,2))</f>
        <v/>
      </c>
      <c r="H196" s="62">
        <f>IF(E196="","",E196+G196)</f>
        <v/>
      </c>
      <c r="I196" s="61" t="n"/>
      <c r="J196" s="64">
        <f>IF(A196="","",DATE(YEAR(A196),MONTH(A196),1))</f>
        <v/>
      </c>
      <c r="K196" s="61" t="n"/>
    </row>
    <row r="197">
      <c r="A197" s="60" t="n"/>
      <c r="B197" s="61" t="n"/>
      <c r="C197" s="61" t="n"/>
      <c r="D197" s="61" t="n"/>
      <c r="E197" s="62" t="n"/>
      <c r="F197" s="63">
        <f>IF(A197="","",Settings!$B$4)</f>
        <v/>
      </c>
      <c r="G197" s="62">
        <f>IF(E197="","",ROUND(E197*F197,2))</f>
        <v/>
      </c>
      <c r="H197" s="62">
        <f>IF(E197="","",E197+G197)</f>
        <v/>
      </c>
      <c r="I197" s="61" t="n"/>
      <c r="J197" s="64">
        <f>IF(A197="","",DATE(YEAR(A197),MONTH(A197),1))</f>
        <v/>
      </c>
      <c r="K197" s="61" t="n"/>
    </row>
    <row r="198">
      <c r="A198" s="60" t="n"/>
      <c r="B198" s="61" t="n"/>
      <c r="C198" s="61" t="n"/>
      <c r="D198" s="61" t="n"/>
      <c r="E198" s="62" t="n"/>
      <c r="F198" s="63">
        <f>IF(A198="","",Settings!$B$4)</f>
        <v/>
      </c>
      <c r="G198" s="62">
        <f>IF(E198="","",ROUND(E198*F198,2))</f>
        <v/>
      </c>
      <c r="H198" s="62">
        <f>IF(E198="","",E198+G198)</f>
        <v/>
      </c>
      <c r="I198" s="61" t="n"/>
      <c r="J198" s="64">
        <f>IF(A198="","",DATE(YEAR(A198),MONTH(A198),1))</f>
        <v/>
      </c>
      <c r="K198" s="61" t="n"/>
    </row>
    <row r="199">
      <c r="A199" s="60" t="n"/>
      <c r="B199" s="61" t="n"/>
      <c r="C199" s="61" t="n"/>
      <c r="D199" s="61" t="n"/>
      <c r="E199" s="62" t="n"/>
      <c r="F199" s="63">
        <f>IF(A199="","",Settings!$B$4)</f>
        <v/>
      </c>
      <c r="G199" s="62">
        <f>IF(E199="","",ROUND(E199*F199,2))</f>
        <v/>
      </c>
      <c r="H199" s="62">
        <f>IF(E199="","",E199+G199)</f>
        <v/>
      </c>
      <c r="I199" s="61" t="n"/>
      <c r="J199" s="64">
        <f>IF(A199="","",DATE(YEAR(A199),MONTH(A199),1))</f>
        <v/>
      </c>
      <c r="K199" s="61" t="n"/>
    </row>
    <row r="200">
      <c r="A200" s="60" t="n"/>
      <c r="B200" s="61" t="n"/>
      <c r="C200" s="61" t="n"/>
      <c r="D200" s="61" t="n"/>
      <c r="E200" s="62" t="n"/>
      <c r="F200" s="63">
        <f>IF(A200="","",Settings!$B$4)</f>
        <v/>
      </c>
      <c r="G200" s="62">
        <f>IF(E200="","",ROUND(E200*F200,2))</f>
        <v/>
      </c>
      <c r="H200" s="62">
        <f>IF(E200="","",E200+G200)</f>
        <v/>
      </c>
      <c r="I200" s="61" t="n"/>
      <c r="J200" s="64">
        <f>IF(A200="","",DATE(YEAR(A200),MONTH(A200),1))</f>
        <v/>
      </c>
      <c r="K200" s="61" t="n"/>
    </row>
    <row r="201">
      <c r="A201" s="60" t="n"/>
      <c r="B201" s="61" t="n"/>
      <c r="C201" s="61" t="n"/>
      <c r="D201" s="61" t="n"/>
      <c r="E201" s="62" t="n"/>
      <c r="F201" s="63">
        <f>IF(A201="","",Settings!$B$4)</f>
        <v/>
      </c>
      <c r="G201" s="62">
        <f>IF(E201="","",ROUND(E201*F201,2))</f>
        <v/>
      </c>
      <c r="H201" s="62">
        <f>IF(E201="","",E201+G201)</f>
        <v/>
      </c>
      <c r="I201" s="61" t="n"/>
      <c r="J201" s="64">
        <f>IF(A201="","",DATE(YEAR(A201),MONTH(A201),1))</f>
        <v/>
      </c>
      <c r="K201" s="61" t="n"/>
    </row>
    <row r="202">
      <c r="A202" s="60" t="n"/>
      <c r="B202" s="61" t="n"/>
      <c r="C202" s="61" t="n"/>
      <c r="D202" s="61" t="n"/>
      <c r="E202" s="62" t="n"/>
      <c r="F202" s="63">
        <f>IF(A202="","",Settings!$B$4)</f>
        <v/>
      </c>
      <c r="G202" s="62">
        <f>IF(E202="","",ROUND(E202*F202,2))</f>
        <v/>
      </c>
      <c r="H202" s="62">
        <f>IF(E202="","",E202+G202)</f>
        <v/>
      </c>
      <c r="I202" s="61" t="n"/>
      <c r="J202" s="64">
        <f>IF(A202="","",DATE(YEAR(A202),MONTH(A202),1))</f>
        <v/>
      </c>
      <c r="K202" s="61" t="n"/>
    </row>
    <row r="203">
      <c r="A203" s="60" t="n"/>
      <c r="B203" s="61" t="n"/>
      <c r="C203" s="61" t="n"/>
      <c r="D203" s="61" t="n"/>
      <c r="E203" s="62" t="n"/>
      <c r="F203" s="63">
        <f>IF(A203="","",Settings!$B$4)</f>
        <v/>
      </c>
      <c r="G203" s="62">
        <f>IF(E203="","",ROUND(E203*F203,2))</f>
        <v/>
      </c>
      <c r="H203" s="62">
        <f>IF(E203="","",E203+G203)</f>
        <v/>
      </c>
      <c r="I203" s="61" t="n"/>
      <c r="J203" s="64">
        <f>IF(A203="","",DATE(YEAR(A203),MONTH(A203),1))</f>
        <v/>
      </c>
      <c r="K203" s="61" t="n"/>
    </row>
    <row r="204">
      <c r="A204" s="60" t="n"/>
      <c r="B204" s="61" t="n"/>
      <c r="C204" s="61" t="n"/>
      <c r="D204" s="61" t="n"/>
      <c r="E204" s="62" t="n"/>
      <c r="F204" s="63">
        <f>IF(A204="","",Settings!$B$4)</f>
        <v/>
      </c>
      <c r="G204" s="62">
        <f>IF(E204="","",ROUND(E204*F204,2))</f>
        <v/>
      </c>
      <c r="H204" s="62">
        <f>IF(E204="","",E204+G204)</f>
        <v/>
      </c>
      <c r="I204" s="61" t="n"/>
      <c r="J204" s="64">
        <f>IF(A204="","",DATE(YEAR(A204),MONTH(A204),1))</f>
        <v/>
      </c>
      <c r="K204" s="61" t="n"/>
    </row>
    <row r="205">
      <c r="A205" s="60" t="n"/>
      <c r="B205" s="61" t="n"/>
      <c r="C205" s="61" t="n"/>
      <c r="D205" s="61" t="n"/>
      <c r="E205" s="62" t="n"/>
      <c r="F205" s="63">
        <f>IF(A205="","",Settings!$B$4)</f>
        <v/>
      </c>
      <c r="G205" s="62">
        <f>IF(E205="","",ROUND(E205*F205,2))</f>
        <v/>
      </c>
      <c r="H205" s="62">
        <f>IF(E205="","",E205+G205)</f>
        <v/>
      </c>
      <c r="I205" s="61" t="n"/>
      <c r="J205" s="64">
        <f>IF(A205="","",DATE(YEAR(A205),MONTH(A205),1))</f>
        <v/>
      </c>
      <c r="K205" s="61" t="n"/>
    </row>
    <row r="206">
      <c r="A206" s="60" t="n"/>
      <c r="B206" s="61" t="n"/>
      <c r="C206" s="61" t="n"/>
      <c r="D206" s="61" t="n"/>
      <c r="E206" s="62" t="n"/>
      <c r="F206" s="63">
        <f>IF(A206="","",Settings!$B$4)</f>
        <v/>
      </c>
      <c r="G206" s="62">
        <f>IF(E206="","",ROUND(E206*F206,2))</f>
        <v/>
      </c>
      <c r="H206" s="62">
        <f>IF(E206="","",E206+G206)</f>
        <v/>
      </c>
      <c r="I206" s="61" t="n"/>
      <c r="J206" s="64">
        <f>IF(A206="","",DATE(YEAR(A206),MONTH(A206),1))</f>
        <v/>
      </c>
      <c r="K206" s="61" t="n"/>
    </row>
    <row r="207">
      <c r="A207" s="60" t="n"/>
      <c r="B207" s="61" t="n"/>
      <c r="C207" s="61" t="n"/>
      <c r="D207" s="61" t="n"/>
      <c r="E207" s="62" t="n"/>
      <c r="F207" s="63">
        <f>IF(A207="","",Settings!$B$4)</f>
        <v/>
      </c>
      <c r="G207" s="62">
        <f>IF(E207="","",ROUND(E207*F207,2))</f>
        <v/>
      </c>
      <c r="H207" s="62">
        <f>IF(E207="","",E207+G207)</f>
        <v/>
      </c>
      <c r="I207" s="61" t="n"/>
      <c r="J207" s="64">
        <f>IF(A207="","",DATE(YEAR(A207),MONTH(A207),1))</f>
        <v/>
      </c>
      <c r="K207" s="61" t="n"/>
    </row>
    <row r="208">
      <c r="A208" s="60" t="n"/>
      <c r="B208" s="61" t="n"/>
      <c r="C208" s="61" t="n"/>
      <c r="D208" s="61" t="n"/>
      <c r="E208" s="62" t="n"/>
      <c r="F208" s="63">
        <f>IF(A208="","",Settings!$B$4)</f>
        <v/>
      </c>
      <c r="G208" s="62">
        <f>IF(E208="","",ROUND(E208*F208,2))</f>
        <v/>
      </c>
      <c r="H208" s="62">
        <f>IF(E208="","",E208+G208)</f>
        <v/>
      </c>
      <c r="I208" s="61" t="n"/>
      <c r="J208" s="64">
        <f>IF(A208="","",DATE(YEAR(A208),MONTH(A208),1))</f>
        <v/>
      </c>
      <c r="K208" s="61" t="n"/>
    </row>
    <row r="210">
      <c r="A210" s="58" t="inlineStr">
        <is>
          <t>October 2026 / เดือน Oct</t>
        </is>
      </c>
    </row>
    <row r="211">
      <c r="A211" s="59" t="inlineStr">
        <is>
          <t>วันที่</t>
        </is>
      </c>
      <c r="B211" s="59" t="inlineStr">
        <is>
          <t>เลขที่ใบกำกับ</t>
        </is>
      </c>
      <c r="C211" s="59" t="inlineStr">
        <is>
          <t>ลูกค้า</t>
        </is>
      </c>
      <c r="D211" s="59" t="inlineStr">
        <is>
          <t>รายละเอียด</t>
        </is>
      </c>
      <c r="E211" s="59" t="inlineStr">
        <is>
          <t>ยอดก่อน VAT</t>
        </is>
      </c>
      <c r="F211" s="59" t="inlineStr">
        <is>
          <t>อัตรา VAT</t>
        </is>
      </c>
      <c r="G211" s="59" t="inlineStr">
        <is>
          <t>ภาษีขาย</t>
        </is>
      </c>
      <c r="H211" s="59" t="inlineStr">
        <is>
          <t>ยอดรวม</t>
        </is>
      </c>
      <c r="I211" s="59" t="inlineStr">
        <is>
          <t>รับเงินแล้ว?</t>
        </is>
      </c>
      <c r="J211" s="59" t="inlineStr">
        <is>
          <t>เดือน</t>
        </is>
      </c>
      <c r="K211" s="59" t="inlineStr">
        <is>
          <t>หมายเหตุ</t>
        </is>
      </c>
    </row>
    <row r="212">
      <c r="A212" s="60" t="n"/>
      <c r="B212" s="61" t="n"/>
      <c r="C212" s="61" t="n"/>
      <c r="D212" s="61" t="n"/>
      <c r="E212" s="62" t="n"/>
      <c r="F212" s="63">
        <f>IF(A212="","",Settings!$B$4)</f>
        <v/>
      </c>
      <c r="G212" s="62">
        <f>IF(E212="","",ROUND(E212*F212,2))</f>
        <v/>
      </c>
      <c r="H212" s="62">
        <f>IF(E212="","",E212+G212)</f>
        <v/>
      </c>
      <c r="I212" s="61" t="n"/>
      <c r="J212" s="64">
        <f>IF(A212="","",DATE(YEAR(A212),MONTH(A212),1))</f>
        <v/>
      </c>
      <c r="K212" s="61" t="n"/>
    </row>
    <row r="213">
      <c r="A213" s="60" t="n"/>
      <c r="B213" s="61" t="n"/>
      <c r="C213" s="61" t="n"/>
      <c r="D213" s="61" t="n"/>
      <c r="E213" s="62" t="n"/>
      <c r="F213" s="63">
        <f>IF(A213="","",Settings!$B$4)</f>
        <v/>
      </c>
      <c r="G213" s="62">
        <f>IF(E213="","",ROUND(E213*F213,2))</f>
        <v/>
      </c>
      <c r="H213" s="62">
        <f>IF(E213="","",E213+G213)</f>
        <v/>
      </c>
      <c r="I213" s="61" t="n"/>
      <c r="J213" s="64">
        <f>IF(A213="","",DATE(YEAR(A213),MONTH(A213),1))</f>
        <v/>
      </c>
      <c r="K213" s="61" t="n"/>
    </row>
    <row r="214">
      <c r="A214" s="60" t="n"/>
      <c r="B214" s="61" t="n"/>
      <c r="C214" s="61" t="n"/>
      <c r="D214" s="61" t="n"/>
      <c r="E214" s="62" t="n"/>
      <c r="F214" s="63">
        <f>IF(A214="","",Settings!$B$4)</f>
        <v/>
      </c>
      <c r="G214" s="62">
        <f>IF(E214="","",ROUND(E214*F214,2))</f>
        <v/>
      </c>
      <c r="H214" s="62">
        <f>IF(E214="","",E214+G214)</f>
        <v/>
      </c>
      <c r="I214" s="61" t="n"/>
      <c r="J214" s="64">
        <f>IF(A214="","",DATE(YEAR(A214),MONTH(A214),1))</f>
        <v/>
      </c>
      <c r="K214" s="61" t="n"/>
    </row>
    <row r="215">
      <c r="A215" s="60" t="n"/>
      <c r="B215" s="61" t="n"/>
      <c r="C215" s="61" t="n"/>
      <c r="D215" s="61" t="n"/>
      <c r="E215" s="62" t="n"/>
      <c r="F215" s="63">
        <f>IF(A215="","",Settings!$B$4)</f>
        <v/>
      </c>
      <c r="G215" s="62">
        <f>IF(E215="","",ROUND(E215*F215,2))</f>
        <v/>
      </c>
      <c r="H215" s="62">
        <f>IF(E215="","",E215+G215)</f>
        <v/>
      </c>
      <c r="I215" s="61" t="n"/>
      <c r="J215" s="64">
        <f>IF(A215="","",DATE(YEAR(A215),MONTH(A215),1))</f>
        <v/>
      </c>
      <c r="K215" s="61" t="n"/>
    </row>
    <row r="216">
      <c r="A216" s="60" t="n"/>
      <c r="B216" s="61" t="n"/>
      <c r="C216" s="61" t="n"/>
      <c r="D216" s="61" t="n"/>
      <c r="E216" s="62" t="n"/>
      <c r="F216" s="63">
        <f>IF(A216="","",Settings!$B$4)</f>
        <v/>
      </c>
      <c r="G216" s="62">
        <f>IF(E216="","",ROUND(E216*F216,2))</f>
        <v/>
      </c>
      <c r="H216" s="62">
        <f>IF(E216="","",E216+G216)</f>
        <v/>
      </c>
      <c r="I216" s="61" t="n"/>
      <c r="J216" s="64">
        <f>IF(A216="","",DATE(YEAR(A216),MONTH(A216),1))</f>
        <v/>
      </c>
      <c r="K216" s="61" t="n"/>
    </row>
    <row r="217">
      <c r="A217" s="60" t="n"/>
      <c r="B217" s="61" t="n"/>
      <c r="C217" s="61" t="n"/>
      <c r="D217" s="61" t="n"/>
      <c r="E217" s="62" t="n"/>
      <c r="F217" s="63">
        <f>IF(A217="","",Settings!$B$4)</f>
        <v/>
      </c>
      <c r="G217" s="62">
        <f>IF(E217="","",ROUND(E217*F217,2))</f>
        <v/>
      </c>
      <c r="H217" s="62">
        <f>IF(E217="","",E217+G217)</f>
        <v/>
      </c>
      <c r="I217" s="61" t="n"/>
      <c r="J217" s="64">
        <f>IF(A217="","",DATE(YEAR(A217),MONTH(A217),1))</f>
        <v/>
      </c>
      <c r="K217" s="61" t="n"/>
    </row>
    <row r="218">
      <c r="A218" s="60" t="n"/>
      <c r="B218" s="61" t="n"/>
      <c r="C218" s="61" t="n"/>
      <c r="D218" s="61" t="n"/>
      <c r="E218" s="62" t="n"/>
      <c r="F218" s="63">
        <f>IF(A218="","",Settings!$B$4)</f>
        <v/>
      </c>
      <c r="G218" s="62">
        <f>IF(E218="","",ROUND(E218*F218,2))</f>
        <v/>
      </c>
      <c r="H218" s="62">
        <f>IF(E218="","",E218+G218)</f>
        <v/>
      </c>
      <c r="I218" s="61" t="n"/>
      <c r="J218" s="64">
        <f>IF(A218="","",DATE(YEAR(A218),MONTH(A218),1))</f>
        <v/>
      </c>
      <c r="K218" s="61" t="n"/>
    </row>
    <row r="219">
      <c r="A219" s="60" t="n"/>
      <c r="B219" s="61" t="n"/>
      <c r="C219" s="61" t="n"/>
      <c r="D219" s="61" t="n"/>
      <c r="E219" s="62" t="n"/>
      <c r="F219" s="63">
        <f>IF(A219="","",Settings!$B$4)</f>
        <v/>
      </c>
      <c r="G219" s="62">
        <f>IF(E219="","",ROUND(E219*F219,2))</f>
        <v/>
      </c>
      <c r="H219" s="62">
        <f>IF(E219="","",E219+G219)</f>
        <v/>
      </c>
      <c r="I219" s="61" t="n"/>
      <c r="J219" s="64">
        <f>IF(A219="","",DATE(YEAR(A219),MONTH(A219),1))</f>
        <v/>
      </c>
      <c r="K219" s="61" t="n"/>
    </row>
    <row r="220">
      <c r="A220" s="60" t="n"/>
      <c r="B220" s="61" t="n"/>
      <c r="C220" s="61" t="n"/>
      <c r="D220" s="61" t="n"/>
      <c r="E220" s="62" t="n"/>
      <c r="F220" s="63">
        <f>IF(A220="","",Settings!$B$4)</f>
        <v/>
      </c>
      <c r="G220" s="62">
        <f>IF(E220="","",ROUND(E220*F220,2))</f>
        <v/>
      </c>
      <c r="H220" s="62">
        <f>IF(E220="","",E220+G220)</f>
        <v/>
      </c>
      <c r="I220" s="61" t="n"/>
      <c r="J220" s="64">
        <f>IF(A220="","",DATE(YEAR(A220),MONTH(A220),1))</f>
        <v/>
      </c>
      <c r="K220" s="61" t="n"/>
    </row>
    <row r="221">
      <c r="A221" s="60" t="n"/>
      <c r="B221" s="61" t="n"/>
      <c r="C221" s="61" t="n"/>
      <c r="D221" s="61" t="n"/>
      <c r="E221" s="62" t="n"/>
      <c r="F221" s="63">
        <f>IF(A221="","",Settings!$B$4)</f>
        <v/>
      </c>
      <c r="G221" s="62">
        <f>IF(E221="","",ROUND(E221*F221,2))</f>
        <v/>
      </c>
      <c r="H221" s="62">
        <f>IF(E221="","",E221+G221)</f>
        <v/>
      </c>
      <c r="I221" s="61" t="n"/>
      <c r="J221" s="64">
        <f>IF(A221="","",DATE(YEAR(A221),MONTH(A221),1))</f>
        <v/>
      </c>
      <c r="K221" s="61" t="n"/>
    </row>
    <row r="222">
      <c r="A222" s="60" t="n"/>
      <c r="B222" s="61" t="n"/>
      <c r="C222" s="61" t="n"/>
      <c r="D222" s="61" t="n"/>
      <c r="E222" s="62" t="n"/>
      <c r="F222" s="63">
        <f>IF(A222="","",Settings!$B$4)</f>
        <v/>
      </c>
      <c r="G222" s="62">
        <f>IF(E222="","",ROUND(E222*F222,2))</f>
        <v/>
      </c>
      <c r="H222" s="62">
        <f>IF(E222="","",E222+G222)</f>
        <v/>
      </c>
      <c r="I222" s="61" t="n"/>
      <c r="J222" s="64">
        <f>IF(A222="","",DATE(YEAR(A222),MONTH(A222),1))</f>
        <v/>
      </c>
      <c r="K222" s="61" t="n"/>
    </row>
    <row r="223">
      <c r="A223" s="60" t="n"/>
      <c r="B223" s="61" t="n"/>
      <c r="C223" s="61" t="n"/>
      <c r="D223" s="61" t="n"/>
      <c r="E223" s="62" t="n"/>
      <c r="F223" s="63">
        <f>IF(A223="","",Settings!$B$4)</f>
        <v/>
      </c>
      <c r="G223" s="62">
        <f>IF(E223="","",ROUND(E223*F223,2))</f>
        <v/>
      </c>
      <c r="H223" s="62">
        <f>IF(E223="","",E223+G223)</f>
        <v/>
      </c>
      <c r="I223" s="61" t="n"/>
      <c r="J223" s="64">
        <f>IF(A223="","",DATE(YEAR(A223),MONTH(A223),1))</f>
        <v/>
      </c>
      <c r="K223" s="61" t="n"/>
    </row>
    <row r="224">
      <c r="A224" s="60" t="n"/>
      <c r="B224" s="61" t="n"/>
      <c r="C224" s="61" t="n"/>
      <c r="D224" s="61" t="n"/>
      <c r="E224" s="62" t="n"/>
      <c r="F224" s="63">
        <f>IF(A224="","",Settings!$B$4)</f>
        <v/>
      </c>
      <c r="G224" s="62">
        <f>IF(E224="","",ROUND(E224*F224,2))</f>
        <v/>
      </c>
      <c r="H224" s="62">
        <f>IF(E224="","",E224+G224)</f>
        <v/>
      </c>
      <c r="I224" s="61" t="n"/>
      <c r="J224" s="64">
        <f>IF(A224="","",DATE(YEAR(A224),MONTH(A224),1))</f>
        <v/>
      </c>
      <c r="K224" s="61" t="n"/>
    </row>
    <row r="225">
      <c r="A225" s="60" t="n"/>
      <c r="B225" s="61" t="n"/>
      <c r="C225" s="61" t="n"/>
      <c r="D225" s="61" t="n"/>
      <c r="E225" s="62" t="n"/>
      <c r="F225" s="63">
        <f>IF(A225="","",Settings!$B$4)</f>
        <v/>
      </c>
      <c r="G225" s="62">
        <f>IF(E225="","",ROUND(E225*F225,2))</f>
        <v/>
      </c>
      <c r="H225" s="62">
        <f>IF(E225="","",E225+G225)</f>
        <v/>
      </c>
      <c r="I225" s="61" t="n"/>
      <c r="J225" s="64">
        <f>IF(A225="","",DATE(YEAR(A225),MONTH(A225),1))</f>
        <v/>
      </c>
      <c r="K225" s="61" t="n"/>
    </row>
    <row r="226">
      <c r="A226" s="60" t="n"/>
      <c r="B226" s="61" t="n"/>
      <c r="C226" s="61" t="n"/>
      <c r="D226" s="61" t="n"/>
      <c r="E226" s="62" t="n"/>
      <c r="F226" s="63">
        <f>IF(A226="","",Settings!$B$4)</f>
        <v/>
      </c>
      <c r="G226" s="62">
        <f>IF(E226="","",ROUND(E226*F226,2))</f>
        <v/>
      </c>
      <c r="H226" s="62">
        <f>IF(E226="","",E226+G226)</f>
        <v/>
      </c>
      <c r="I226" s="61" t="n"/>
      <c r="J226" s="64">
        <f>IF(A226="","",DATE(YEAR(A226),MONTH(A226),1))</f>
        <v/>
      </c>
      <c r="K226" s="61" t="n"/>
    </row>
    <row r="227">
      <c r="A227" s="60" t="n"/>
      <c r="B227" s="61" t="n"/>
      <c r="C227" s="61" t="n"/>
      <c r="D227" s="61" t="n"/>
      <c r="E227" s="62" t="n"/>
      <c r="F227" s="63">
        <f>IF(A227="","",Settings!$B$4)</f>
        <v/>
      </c>
      <c r="G227" s="62">
        <f>IF(E227="","",ROUND(E227*F227,2))</f>
        <v/>
      </c>
      <c r="H227" s="62">
        <f>IF(E227="","",E227+G227)</f>
        <v/>
      </c>
      <c r="I227" s="61" t="n"/>
      <c r="J227" s="64">
        <f>IF(A227="","",DATE(YEAR(A227),MONTH(A227),1))</f>
        <v/>
      </c>
      <c r="K227" s="61" t="n"/>
    </row>
    <row r="228">
      <c r="A228" s="60" t="n"/>
      <c r="B228" s="61" t="n"/>
      <c r="C228" s="61" t="n"/>
      <c r="D228" s="61" t="n"/>
      <c r="E228" s="62" t="n"/>
      <c r="F228" s="63">
        <f>IF(A228="","",Settings!$B$4)</f>
        <v/>
      </c>
      <c r="G228" s="62">
        <f>IF(E228="","",ROUND(E228*F228,2))</f>
        <v/>
      </c>
      <c r="H228" s="62">
        <f>IF(E228="","",E228+G228)</f>
        <v/>
      </c>
      <c r="I228" s="61" t="n"/>
      <c r="J228" s="64">
        <f>IF(A228="","",DATE(YEAR(A228),MONTH(A228),1))</f>
        <v/>
      </c>
      <c r="K228" s="61" t="n"/>
    </row>
    <row r="229">
      <c r="A229" s="60" t="n"/>
      <c r="B229" s="61" t="n"/>
      <c r="C229" s="61" t="n"/>
      <c r="D229" s="61" t="n"/>
      <c r="E229" s="62" t="n"/>
      <c r="F229" s="63">
        <f>IF(A229="","",Settings!$B$4)</f>
        <v/>
      </c>
      <c r="G229" s="62">
        <f>IF(E229="","",ROUND(E229*F229,2))</f>
        <v/>
      </c>
      <c r="H229" s="62">
        <f>IF(E229="","",E229+G229)</f>
        <v/>
      </c>
      <c r="I229" s="61" t="n"/>
      <c r="J229" s="64">
        <f>IF(A229="","",DATE(YEAR(A229),MONTH(A229),1))</f>
        <v/>
      </c>
      <c r="K229" s="61" t="n"/>
    </row>
    <row r="230">
      <c r="A230" s="60" t="n"/>
      <c r="B230" s="61" t="n"/>
      <c r="C230" s="61" t="n"/>
      <c r="D230" s="61" t="n"/>
      <c r="E230" s="62" t="n"/>
      <c r="F230" s="63">
        <f>IF(A230="","",Settings!$B$4)</f>
        <v/>
      </c>
      <c r="G230" s="62">
        <f>IF(E230="","",ROUND(E230*F230,2))</f>
        <v/>
      </c>
      <c r="H230" s="62">
        <f>IF(E230="","",E230+G230)</f>
        <v/>
      </c>
      <c r="I230" s="61" t="n"/>
      <c r="J230" s="64">
        <f>IF(A230="","",DATE(YEAR(A230),MONTH(A230),1))</f>
        <v/>
      </c>
      <c r="K230" s="61" t="n"/>
    </row>
    <row r="231">
      <c r="A231" s="60" t="n"/>
      <c r="B231" s="61" t="n"/>
      <c r="C231" s="61" t="n"/>
      <c r="D231" s="61" t="n"/>
      <c r="E231" s="62" t="n"/>
      <c r="F231" s="63">
        <f>IF(A231="","",Settings!$B$4)</f>
        <v/>
      </c>
      <c r="G231" s="62">
        <f>IF(E231="","",ROUND(E231*F231,2))</f>
        <v/>
      </c>
      <c r="H231" s="62">
        <f>IF(E231="","",E231+G231)</f>
        <v/>
      </c>
      <c r="I231" s="61" t="n"/>
      <c r="J231" s="64">
        <f>IF(A231="","",DATE(YEAR(A231),MONTH(A231),1))</f>
        <v/>
      </c>
      <c r="K231" s="61" t="n"/>
    </row>
    <row r="233">
      <c r="A233" s="58" t="inlineStr">
        <is>
          <t>November 2026 / เดือน Nov</t>
        </is>
      </c>
    </row>
    <row r="234">
      <c r="A234" s="59" t="inlineStr">
        <is>
          <t>วันที่</t>
        </is>
      </c>
      <c r="B234" s="59" t="inlineStr">
        <is>
          <t>เลขที่ใบกำกับ</t>
        </is>
      </c>
      <c r="C234" s="59" t="inlineStr">
        <is>
          <t>ลูกค้า</t>
        </is>
      </c>
      <c r="D234" s="59" t="inlineStr">
        <is>
          <t>รายละเอียด</t>
        </is>
      </c>
      <c r="E234" s="59" t="inlineStr">
        <is>
          <t>ยอดก่อน VAT</t>
        </is>
      </c>
      <c r="F234" s="59" t="inlineStr">
        <is>
          <t>อัตรา VAT</t>
        </is>
      </c>
      <c r="G234" s="59" t="inlineStr">
        <is>
          <t>ภาษีขาย</t>
        </is>
      </c>
      <c r="H234" s="59" t="inlineStr">
        <is>
          <t>ยอดรวม</t>
        </is>
      </c>
      <c r="I234" s="59" t="inlineStr">
        <is>
          <t>รับเงินแล้ว?</t>
        </is>
      </c>
      <c r="J234" s="59" t="inlineStr">
        <is>
          <t>เดือน</t>
        </is>
      </c>
      <c r="K234" s="59" t="inlineStr">
        <is>
          <t>หมายเหตุ</t>
        </is>
      </c>
    </row>
    <row r="235">
      <c r="A235" s="60" t="n"/>
      <c r="B235" s="61" t="n"/>
      <c r="C235" s="61" t="n"/>
      <c r="D235" s="61" t="n"/>
      <c r="E235" s="62" t="n"/>
      <c r="F235" s="63">
        <f>IF(A235="","",Settings!$B$4)</f>
        <v/>
      </c>
      <c r="G235" s="62">
        <f>IF(E235="","",ROUND(E235*F235,2))</f>
        <v/>
      </c>
      <c r="H235" s="62">
        <f>IF(E235="","",E235+G235)</f>
        <v/>
      </c>
      <c r="I235" s="61" t="n"/>
      <c r="J235" s="64">
        <f>IF(A235="","",DATE(YEAR(A235),MONTH(A235),1))</f>
        <v/>
      </c>
      <c r="K235" s="61" t="n"/>
    </row>
    <row r="236">
      <c r="A236" s="60" t="n"/>
      <c r="B236" s="61" t="n"/>
      <c r="C236" s="61" t="n"/>
      <c r="D236" s="61" t="n"/>
      <c r="E236" s="62" t="n"/>
      <c r="F236" s="63">
        <f>IF(A236="","",Settings!$B$4)</f>
        <v/>
      </c>
      <c r="G236" s="62">
        <f>IF(E236="","",ROUND(E236*F236,2))</f>
        <v/>
      </c>
      <c r="H236" s="62">
        <f>IF(E236="","",E236+G236)</f>
        <v/>
      </c>
      <c r="I236" s="61" t="n"/>
      <c r="J236" s="64">
        <f>IF(A236="","",DATE(YEAR(A236),MONTH(A236),1))</f>
        <v/>
      </c>
      <c r="K236" s="61" t="n"/>
    </row>
    <row r="237">
      <c r="A237" s="60" t="n"/>
      <c r="B237" s="61" t="n"/>
      <c r="C237" s="61" t="n"/>
      <c r="D237" s="61" t="n"/>
      <c r="E237" s="62" t="n"/>
      <c r="F237" s="63">
        <f>IF(A237="","",Settings!$B$4)</f>
        <v/>
      </c>
      <c r="G237" s="62">
        <f>IF(E237="","",ROUND(E237*F237,2))</f>
        <v/>
      </c>
      <c r="H237" s="62">
        <f>IF(E237="","",E237+G237)</f>
        <v/>
      </c>
      <c r="I237" s="61" t="n"/>
      <c r="J237" s="64">
        <f>IF(A237="","",DATE(YEAR(A237),MONTH(A237),1))</f>
        <v/>
      </c>
      <c r="K237" s="61" t="n"/>
    </row>
    <row r="238">
      <c r="A238" s="60" t="n"/>
      <c r="B238" s="61" t="n"/>
      <c r="C238" s="61" t="n"/>
      <c r="D238" s="61" t="n"/>
      <c r="E238" s="62" t="n"/>
      <c r="F238" s="63">
        <f>IF(A238="","",Settings!$B$4)</f>
        <v/>
      </c>
      <c r="G238" s="62">
        <f>IF(E238="","",ROUND(E238*F238,2))</f>
        <v/>
      </c>
      <c r="H238" s="62">
        <f>IF(E238="","",E238+G238)</f>
        <v/>
      </c>
      <c r="I238" s="61" t="n"/>
      <c r="J238" s="64">
        <f>IF(A238="","",DATE(YEAR(A238),MONTH(A238),1))</f>
        <v/>
      </c>
      <c r="K238" s="61" t="n"/>
    </row>
    <row r="239">
      <c r="A239" s="60" t="n"/>
      <c r="B239" s="61" t="n"/>
      <c r="C239" s="61" t="n"/>
      <c r="D239" s="61" t="n"/>
      <c r="E239" s="62" t="n"/>
      <c r="F239" s="63">
        <f>IF(A239="","",Settings!$B$4)</f>
        <v/>
      </c>
      <c r="G239" s="62">
        <f>IF(E239="","",ROUND(E239*F239,2))</f>
        <v/>
      </c>
      <c r="H239" s="62">
        <f>IF(E239="","",E239+G239)</f>
        <v/>
      </c>
      <c r="I239" s="61" t="n"/>
      <c r="J239" s="64">
        <f>IF(A239="","",DATE(YEAR(A239),MONTH(A239),1))</f>
        <v/>
      </c>
      <c r="K239" s="61" t="n"/>
    </row>
    <row r="240">
      <c r="A240" s="60" t="n"/>
      <c r="B240" s="61" t="n"/>
      <c r="C240" s="61" t="n"/>
      <c r="D240" s="61" t="n"/>
      <c r="E240" s="62" t="n"/>
      <c r="F240" s="63">
        <f>IF(A240="","",Settings!$B$4)</f>
        <v/>
      </c>
      <c r="G240" s="62">
        <f>IF(E240="","",ROUND(E240*F240,2))</f>
        <v/>
      </c>
      <c r="H240" s="62">
        <f>IF(E240="","",E240+G240)</f>
        <v/>
      </c>
      <c r="I240" s="61" t="n"/>
      <c r="J240" s="64">
        <f>IF(A240="","",DATE(YEAR(A240),MONTH(A240),1))</f>
        <v/>
      </c>
      <c r="K240" s="61" t="n"/>
    </row>
    <row r="241">
      <c r="A241" s="60" t="n"/>
      <c r="B241" s="61" t="n"/>
      <c r="C241" s="61" t="n"/>
      <c r="D241" s="61" t="n"/>
      <c r="E241" s="62" t="n"/>
      <c r="F241" s="63">
        <f>IF(A241="","",Settings!$B$4)</f>
        <v/>
      </c>
      <c r="G241" s="62">
        <f>IF(E241="","",ROUND(E241*F241,2))</f>
        <v/>
      </c>
      <c r="H241" s="62">
        <f>IF(E241="","",E241+G241)</f>
        <v/>
      </c>
      <c r="I241" s="61" t="n"/>
      <c r="J241" s="64">
        <f>IF(A241="","",DATE(YEAR(A241),MONTH(A241),1))</f>
        <v/>
      </c>
      <c r="K241" s="61" t="n"/>
    </row>
    <row r="242">
      <c r="A242" s="60" t="n"/>
      <c r="B242" s="61" t="n"/>
      <c r="C242" s="61" t="n"/>
      <c r="D242" s="61" t="n"/>
      <c r="E242" s="62" t="n"/>
      <c r="F242" s="63">
        <f>IF(A242="","",Settings!$B$4)</f>
        <v/>
      </c>
      <c r="G242" s="62">
        <f>IF(E242="","",ROUND(E242*F242,2))</f>
        <v/>
      </c>
      <c r="H242" s="62">
        <f>IF(E242="","",E242+G242)</f>
        <v/>
      </c>
      <c r="I242" s="61" t="n"/>
      <c r="J242" s="64">
        <f>IF(A242="","",DATE(YEAR(A242),MONTH(A242),1))</f>
        <v/>
      </c>
      <c r="K242" s="61" t="n"/>
    </row>
    <row r="243">
      <c r="A243" s="60" t="n"/>
      <c r="B243" s="61" t="n"/>
      <c r="C243" s="61" t="n"/>
      <c r="D243" s="61" t="n"/>
      <c r="E243" s="62" t="n"/>
      <c r="F243" s="63">
        <f>IF(A243="","",Settings!$B$4)</f>
        <v/>
      </c>
      <c r="G243" s="62">
        <f>IF(E243="","",ROUND(E243*F243,2))</f>
        <v/>
      </c>
      <c r="H243" s="62">
        <f>IF(E243="","",E243+G243)</f>
        <v/>
      </c>
      <c r="I243" s="61" t="n"/>
      <c r="J243" s="64">
        <f>IF(A243="","",DATE(YEAR(A243),MONTH(A243),1))</f>
        <v/>
      </c>
      <c r="K243" s="61" t="n"/>
    </row>
    <row r="244">
      <c r="A244" s="60" t="n"/>
      <c r="B244" s="61" t="n"/>
      <c r="C244" s="61" t="n"/>
      <c r="D244" s="61" t="n"/>
      <c r="E244" s="62" t="n"/>
      <c r="F244" s="63">
        <f>IF(A244="","",Settings!$B$4)</f>
        <v/>
      </c>
      <c r="G244" s="62">
        <f>IF(E244="","",ROUND(E244*F244,2))</f>
        <v/>
      </c>
      <c r="H244" s="62">
        <f>IF(E244="","",E244+G244)</f>
        <v/>
      </c>
      <c r="I244" s="61" t="n"/>
      <c r="J244" s="64">
        <f>IF(A244="","",DATE(YEAR(A244),MONTH(A244),1))</f>
        <v/>
      </c>
      <c r="K244" s="61" t="n"/>
    </row>
    <row r="245">
      <c r="A245" s="60" t="n"/>
      <c r="B245" s="61" t="n"/>
      <c r="C245" s="61" t="n"/>
      <c r="D245" s="61" t="n"/>
      <c r="E245" s="62" t="n"/>
      <c r="F245" s="63">
        <f>IF(A245="","",Settings!$B$4)</f>
        <v/>
      </c>
      <c r="G245" s="62">
        <f>IF(E245="","",ROUND(E245*F245,2))</f>
        <v/>
      </c>
      <c r="H245" s="62">
        <f>IF(E245="","",E245+G245)</f>
        <v/>
      </c>
      <c r="I245" s="61" t="n"/>
      <c r="J245" s="64">
        <f>IF(A245="","",DATE(YEAR(A245),MONTH(A245),1))</f>
        <v/>
      </c>
      <c r="K245" s="61" t="n"/>
    </row>
    <row r="246">
      <c r="A246" s="60" t="n"/>
      <c r="B246" s="61" t="n"/>
      <c r="C246" s="61" t="n"/>
      <c r="D246" s="61" t="n"/>
      <c r="E246" s="62" t="n"/>
      <c r="F246" s="63">
        <f>IF(A246="","",Settings!$B$4)</f>
        <v/>
      </c>
      <c r="G246" s="62">
        <f>IF(E246="","",ROUND(E246*F246,2))</f>
        <v/>
      </c>
      <c r="H246" s="62">
        <f>IF(E246="","",E246+G246)</f>
        <v/>
      </c>
      <c r="I246" s="61" t="n"/>
      <c r="J246" s="64">
        <f>IF(A246="","",DATE(YEAR(A246),MONTH(A246),1))</f>
        <v/>
      </c>
      <c r="K246" s="61" t="n"/>
    </row>
    <row r="247">
      <c r="A247" s="60" t="n"/>
      <c r="B247" s="61" t="n"/>
      <c r="C247" s="61" t="n"/>
      <c r="D247" s="61" t="n"/>
      <c r="E247" s="62" t="n"/>
      <c r="F247" s="63">
        <f>IF(A247="","",Settings!$B$4)</f>
        <v/>
      </c>
      <c r="G247" s="62">
        <f>IF(E247="","",ROUND(E247*F247,2))</f>
        <v/>
      </c>
      <c r="H247" s="62">
        <f>IF(E247="","",E247+G247)</f>
        <v/>
      </c>
      <c r="I247" s="61" t="n"/>
      <c r="J247" s="64">
        <f>IF(A247="","",DATE(YEAR(A247),MONTH(A247),1))</f>
        <v/>
      </c>
      <c r="K247" s="61" t="n"/>
    </row>
    <row r="248">
      <c r="A248" s="60" t="n"/>
      <c r="B248" s="61" t="n"/>
      <c r="C248" s="61" t="n"/>
      <c r="D248" s="61" t="n"/>
      <c r="E248" s="62" t="n"/>
      <c r="F248" s="63">
        <f>IF(A248="","",Settings!$B$4)</f>
        <v/>
      </c>
      <c r="G248" s="62">
        <f>IF(E248="","",ROUND(E248*F248,2))</f>
        <v/>
      </c>
      <c r="H248" s="62">
        <f>IF(E248="","",E248+G248)</f>
        <v/>
      </c>
      <c r="I248" s="61" t="n"/>
      <c r="J248" s="64">
        <f>IF(A248="","",DATE(YEAR(A248),MONTH(A248),1))</f>
        <v/>
      </c>
      <c r="K248" s="61" t="n"/>
    </row>
    <row r="249">
      <c r="A249" s="60" t="n"/>
      <c r="B249" s="61" t="n"/>
      <c r="C249" s="61" t="n"/>
      <c r="D249" s="61" t="n"/>
      <c r="E249" s="62" t="n"/>
      <c r="F249" s="63">
        <f>IF(A249="","",Settings!$B$4)</f>
        <v/>
      </c>
      <c r="G249" s="62">
        <f>IF(E249="","",ROUND(E249*F249,2))</f>
        <v/>
      </c>
      <c r="H249" s="62">
        <f>IF(E249="","",E249+G249)</f>
        <v/>
      </c>
      <c r="I249" s="61" t="n"/>
      <c r="J249" s="64">
        <f>IF(A249="","",DATE(YEAR(A249),MONTH(A249),1))</f>
        <v/>
      </c>
      <c r="K249" s="61" t="n"/>
    </row>
    <row r="250">
      <c r="A250" s="60" t="n"/>
      <c r="B250" s="61" t="n"/>
      <c r="C250" s="61" t="n"/>
      <c r="D250" s="61" t="n"/>
      <c r="E250" s="62" t="n"/>
      <c r="F250" s="63">
        <f>IF(A250="","",Settings!$B$4)</f>
        <v/>
      </c>
      <c r="G250" s="62">
        <f>IF(E250="","",ROUND(E250*F250,2))</f>
        <v/>
      </c>
      <c r="H250" s="62">
        <f>IF(E250="","",E250+G250)</f>
        <v/>
      </c>
      <c r="I250" s="61" t="n"/>
      <c r="J250" s="64">
        <f>IF(A250="","",DATE(YEAR(A250),MONTH(A250),1))</f>
        <v/>
      </c>
      <c r="K250" s="61" t="n"/>
    </row>
    <row r="251">
      <c r="A251" s="60" t="n"/>
      <c r="B251" s="61" t="n"/>
      <c r="C251" s="61" t="n"/>
      <c r="D251" s="61" t="n"/>
      <c r="E251" s="62" t="n"/>
      <c r="F251" s="63">
        <f>IF(A251="","",Settings!$B$4)</f>
        <v/>
      </c>
      <c r="G251" s="62">
        <f>IF(E251="","",ROUND(E251*F251,2))</f>
        <v/>
      </c>
      <c r="H251" s="62">
        <f>IF(E251="","",E251+G251)</f>
        <v/>
      </c>
      <c r="I251" s="61" t="n"/>
      <c r="J251" s="64">
        <f>IF(A251="","",DATE(YEAR(A251),MONTH(A251),1))</f>
        <v/>
      </c>
      <c r="K251" s="61" t="n"/>
    </row>
    <row r="252">
      <c r="A252" s="60" t="n"/>
      <c r="B252" s="61" t="n"/>
      <c r="C252" s="61" t="n"/>
      <c r="D252" s="61" t="n"/>
      <c r="E252" s="62" t="n"/>
      <c r="F252" s="63">
        <f>IF(A252="","",Settings!$B$4)</f>
        <v/>
      </c>
      <c r="G252" s="62">
        <f>IF(E252="","",ROUND(E252*F252,2))</f>
        <v/>
      </c>
      <c r="H252" s="62">
        <f>IF(E252="","",E252+G252)</f>
        <v/>
      </c>
      <c r="I252" s="61" t="n"/>
      <c r="J252" s="64">
        <f>IF(A252="","",DATE(YEAR(A252),MONTH(A252),1))</f>
        <v/>
      </c>
      <c r="K252" s="61" t="n"/>
    </row>
    <row r="253">
      <c r="A253" s="60" t="n"/>
      <c r="B253" s="61" t="n"/>
      <c r="C253" s="61" t="n"/>
      <c r="D253" s="61" t="n"/>
      <c r="E253" s="62" t="n"/>
      <c r="F253" s="63">
        <f>IF(A253="","",Settings!$B$4)</f>
        <v/>
      </c>
      <c r="G253" s="62">
        <f>IF(E253="","",ROUND(E253*F253,2))</f>
        <v/>
      </c>
      <c r="H253" s="62">
        <f>IF(E253="","",E253+G253)</f>
        <v/>
      </c>
      <c r="I253" s="61" t="n"/>
      <c r="J253" s="64">
        <f>IF(A253="","",DATE(YEAR(A253),MONTH(A253),1))</f>
        <v/>
      </c>
      <c r="K253" s="61" t="n"/>
    </row>
    <row r="254">
      <c r="A254" s="60" t="n"/>
      <c r="B254" s="61" t="n"/>
      <c r="C254" s="61" t="n"/>
      <c r="D254" s="61" t="n"/>
      <c r="E254" s="62" t="n"/>
      <c r="F254" s="63">
        <f>IF(A254="","",Settings!$B$4)</f>
        <v/>
      </c>
      <c r="G254" s="62">
        <f>IF(E254="","",ROUND(E254*F254,2))</f>
        <v/>
      </c>
      <c r="H254" s="62">
        <f>IF(E254="","",E254+G254)</f>
        <v/>
      </c>
      <c r="I254" s="61" t="n"/>
      <c r="J254" s="64">
        <f>IF(A254="","",DATE(YEAR(A254),MONTH(A254),1))</f>
        <v/>
      </c>
      <c r="K254" s="61" t="n"/>
    </row>
    <row r="256">
      <c r="A256" s="58" t="inlineStr">
        <is>
          <t>December 2026 / เดือน Dec</t>
        </is>
      </c>
    </row>
    <row r="257">
      <c r="A257" s="59" t="inlineStr">
        <is>
          <t>วันที่</t>
        </is>
      </c>
      <c r="B257" s="59" t="inlineStr">
        <is>
          <t>เลขที่ใบกำกับ</t>
        </is>
      </c>
      <c r="C257" s="59" t="inlineStr">
        <is>
          <t>ลูกค้า</t>
        </is>
      </c>
      <c r="D257" s="59" t="inlineStr">
        <is>
          <t>รายละเอียด</t>
        </is>
      </c>
      <c r="E257" s="59" t="inlineStr">
        <is>
          <t>ยอดก่อน VAT</t>
        </is>
      </c>
      <c r="F257" s="59" t="inlineStr">
        <is>
          <t>อัตรา VAT</t>
        </is>
      </c>
      <c r="G257" s="59" t="inlineStr">
        <is>
          <t>ภาษีขาย</t>
        </is>
      </c>
      <c r="H257" s="59" t="inlineStr">
        <is>
          <t>ยอดรวม</t>
        </is>
      </c>
      <c r="I257" s="59" t="inlineStr">
        <is>
          <t>รับเงินแล้ว?</t>
        </is>
      </c>
      <c r="J257" s="59" t="inlineStr">
        <is>
          <t>เดือน</t>
        </is>
      </c>
      <c r="K257" s="59" t="inlineStr">
        <is>
          <t>หมายเหตุ</t>
        </is>
      </c>
    </row>
    <row r="258">
      <c r="A258" s="60" t="n"/>
      <c r="B258" s="61" t="n"/>
      <c r="C258" s="61" t="n"/>
      <c r="D258" s="61" t="n"/>
      <c r="E258" s="62" t="n"/>
      <c r="F258" s="63">
        <f>IF(A258="","",Settings!$B$4)</f>
        <v/>
      </c>
      <c r="G258" s="62">
        <f>IF(E258="","",ROUND(E258*F258,2))</f>
        <v/>
      </c>
      <c r="H258" s="62">
        <f>IF(E258="","",E258+G258)</f>
        <v/>
      </c>
      <c r="I258" s="61" t="n"/>
      <c r="J258" s="64">
        <f>IF(A258="","",DATE(YEAR(A258),MONTH(A258),1))</f>
        <v/>
      </c>
      <c r="K258" s="61" t="n"/>
    </row>
    <row r="259">
      <c r="A259" s="60" t="n"/>
      <c r="B259" s="61" t="n"/>
      <c r="C259" s="61" t="n"/>
      <c r="D259" s="61" t="n"/>
      <c r="E259" s="62" t="n"/>
      <c r="F259" s="63">
        <f>IF(A259="","",Settings!$B$4)</f>
        <v/>
      </c>
      <c r="G259" s="62">
        <f>IF(E259="","",ROUND(E259*F259,2))</f>
        <v/>
      </c>
      <c r="H259" s="62">
        <f>IF(E259="","",E259+G259)</f>
        <v/>
      </c>
      <c r="I259" s="61" t="n"/>
      <c r="J259" s="64">
        <f>IF(A259="","",DATE(YEAR(A259),MONTH(A259),1))</f>
        <v/>
      </c>
      <c r="K259" s="61" t="n"/>
    </row>
    <row r="260">
      <c r="A260" s="60" t="n"/>
      <c r="B260" s="61" t="n"/>
      <c r="C260" s="61" t="n"/>
      <c r="D260" s="61" t="n"/>
      <c r="E260" s="62" t="n"/>
      <c r="F260" s="63">
        <f>IF(A260="","",Settings!$B$4)</f>
        <v/>
      </c>
      <c r="G260" s="62">
        <f>IF(E260="","",ROUND(E260*F260,2))</f>
        <v/>
      </c>
      <c r="H260" s="62">
        <f>IF(E260="","",E260+G260)</f>
        <v/>
      </c>
      <c r="I260" s="61" t="n"/>
      <c r="J260" s="64">
        <f>IF(A260="","",DATE(YEAR(A260),MONTH(A260),1))</f>
        <v/>
      </c>
      <c r="K260" s="61" t="n"/>
    </row>
    <row r="261">
      <c r="A261" s="60" t="n"/>
      <c r="B261" s="61" t="n"/>
      <c r="C261" s="61" t="n"/>
      <c r="D261" s="61" t="n"/>
      <c r="E261" s="62" t="n"/>
      <c r="F261" s="63">
        <f>IF(A261="","",Settings!$B$4)</f>
        <v/>
      </c>
      <c r="G261" s="62">
        <f>IF(E261="","",ROUND(E261*F261,2))</f>
        <v/>
      </c>
      <c r="H261" s="62">
        <f>IF(E261="","",E261+G261)</f>
        <v/>
      </c>
      <c r="I261" s="61" t="n"/>
      <c r="J261" s="64">
        <f>IF(A261="","",DATE(YEAR(A261),MONTH(A261),1))</f>
        <v/>
      </c>
      <c r="K261" s="61" t="n"/>
    </row>
    <row r="262">
      <c r="A262" s="60" t="n"/>
      <c r="B262" s="61" t="n"/>
      <c r="C262" s="61" t="n"/>
      <c r="D262" s="61" t="n"/>
      <c r="E262" s="62" t="n"/>
      <c r="F262" s="63">
        <f>IF(A262="","",Settings!$B$4)</f>
        <v/>
      </c>
      <c r="G262" s="62">
        <f>IF(E262="","",ROUND(E262*F262,2))</f>
        <v/>
      </c>
      <c r="H262" s="62">
        <f>IF(E262="","",E262+G262)</f>
        <v/>
      </c>
      <c r="I262" s="61" t="n"/>
      <c r="J262" s="64">
        <f>IF(A262="","",DATE(YEAR(A262),MONTH(A262),1))</f>
        <v/>
      </c>
      <c r="K262" s="61" t="n"/>
    </row>
    <row r="263">
      <c r="A263" s="60" t="n"/>
      <c r="B263" s="61" t="n"/>
      <c r="C263" s="61" t="n"/>
      <c r="D263" s="61" t="n"/>
      <c r="E263" s="62" t="n"/>
      <c r="F263" s="63">
        <f>IF(A263="","",Settings!$B$4)</f>
        <v/>
      </c>
      <c r="G263" s="62">
        <f>IF(E263="","",ROUND(E263*F263,2))</f>
        <v/>
      </c>
      <c r="H263" s="62">
        <f>IF(E263="","",E263+G263)</f>
        <v/>
      </c>
      <c r="I263" s="61" t="n"/>
      <c r="J263" s="64">
        <f>IF(A263="","",DATE(YEAR(A263),MONTH(A263),1))</f>
        <v/>
      </c>
      <c r="K263" s="61" t="n"/>
    </row>
    <row r="264">
      <c r="A264" s="60" t="n"/>
      <c r="B264" s="61" t="n"/>
      <c r="C264" s="61" t="n"/>
      <c r="D264" s="61" t="n"/>
      <c r="E264" s="62" t="n"/>
      <c r="F264" s="63">
        <f>IF(A264="","",Settings!$B$4)</f>
        <v/>
      </c>
      <c r="G264" s="62">
        <f>IF(E264="","",ROUND(E264*F264,2))</f>
        <v/>
      </c>
      <c r="H264" s="62">
        <f>IF(E264="","",E264+G264)</f>
        <v/>
      </c>
      <c r="I264" s="61" t="n"/>
      <c r="J264" s="64">
        <f>IF(A264="","",DATE(YEAR(A264),MONTH(A264),1))</f>
        <v/>
      </c>
      <c r="K264" s="61" t="n"/>
    </row>
    <row r="265">
      <c r="A265" s="60" t="n"/>
      <c r="B265" s="61" t="n"/>
      <c r="C265" s="61" t="n"/>
      <c r="D265" s="61" t="n"/>
      <c r="E265" s="62" t="n"/>
      <c r="F265" s="63">
        <f>IF(A265="","",Settings!$B$4)</f>
        <v/>
      </c>
      <c r="G265" s="62">
        <f>IF(E265="","",ROUND(E265*F265,2))</f>
        <v/>
      </c>
      <c r="H265" s="62">
        <f>IF(E265="","",E265+G265)</f>
        <v/>
      </c>
      <c r="I265" s="61" t="n"/>
      <c r="J265" s="64">
        <f>IF(A265="","",DATE(YEAR(A265),MONTH(A265),1))</f>
        <v/>
      </c>
      <c r="K265" s="61" t="n"/>
    </row>
    <row r="266">
      <c r="A266" s="60" t="n"/>
      <c r="B266" s="61" t="n"/>
      <c r="C266" s="61" t="n"/>
      <c r="D266" s="61" t="n"/>
      <c r="E266" s="62" t="n"/>
      <c r="F266" s="63">
        <f>IF(A266="","",Settings!$B$4)</f>
        <v/>
      </c>
      <c r="G266" s="62">
        <f>IF(E266="","",ROUND(E266*F266,2))</f>
        <v/>
      </c>
      <c r="H266" s="62">
        <f>IF(E266="","",E266+G266)</f>
        <v/>
      </c>
      <c r="I266" s="61" t="n"/>
      <c r="J266" s="64">
        <f>IF(A266="","",DATE(YEAR(A266),MONTH(A266),1))</f>
        <v/>
      </c>
      <c r="K266" s="61" t="n"/>
    </row>
    <row r="267">
      <c r="A267" s="60" t="n"/>
      <c r="B267" s="61" t="n"/>
      <c r="C267" s="61" t="n"/>
      <c r="D267" s="61" t="n"/>
      <c r="E267" s="62" t="n"/>
      <c r="F267" s="63">
        <f>IF(A267="","",Settings!$B$4)</f>
        <v/>
      </c>
      <c r="G267" s="62">
        <f>IF(E267="","",ROUND(E267*F267,2))</f>
        <v/>
      </c>
      <c r="H267" s="62">
        <f>IF(E267="","",E267+G267)</f>
        <v/>
      </c>
      <c r="I267" s="61" t="n"/>
      <c r="J267" s="64">
        <f>IF(A267="","",DATE(YEAR(A267),MONTH(A267),1))</f>
        <v/>
      </c>
      <c r="K267" s="61" t="n"/>
    </row>
    <row r="268">
      <c r="A268" s="60" t="n"/>
      <c r="B268" s="61" t="n"/>
      <c r="C268" s="61" t="n"/>
      <c r="D268" s="61" t="n"/>
      <c r="E268" s="62" t="n"/>
      <c r="F268" s="63">
        <f>IF(A268="","",Settings!$B$4)</f>
        <v/>
      </c>
      <c r="G268" s="62">
        <f>IF(E268="","",ROUND(E268*F268,2))</f>
        <v/>
      </c>
      <c r="H268" s="62">
        <f>IF(E268="","",E268+G268)</f>
        <v/>
      </c>
      <c r="I268" s="61" t="n"/>
      <c r="J268" s="64">
        <f>IF(A268="","",DATE(YEAR(A268),MONTH(A268),1))</f>
        <v/>
      </c>
      <c r="K268" s="61" t="n"/>
    </row>
    <row r="269">
      <c r="A269" s="60" t="n"/>
      <c r="B269" s="61" t="n"/>
      <c r="C269" s="61" t="n"/>
      <c r="D269" s="61" t="n"/>
      <c r="E269" s="62" t="n"/>
      <c r="F269" s="63">
        <f>IF(A269="","",Settings!$B$4)</f>
        <v/>
      </c>
      <c r="G269" s="62">
        <f>IF(E269="","",ROUND(E269*F269,2))</f>
        <v/>
      </c>
      <c r="H269" s="62">
        <f>IF(E269="","",E269+G269)</f>
        <v/>
      </c>
      <c r="I269" s="61" t="n"/>
      <c r="J269" s="64">
        <f>IF(A269="","",DATE(YEAR(A269),MONTH(A269),1))</f>
        <v/>
      </c>
      <c r="K269" s="61" t="n"/>
    </row>
    <row r="270">
      <c r="A270" s="60" t="n"/>
      <c r="B270" s="61" t="n"/>
      <c r="C270" s="61" t="n"/>
      <c r="D270" s="61" t="n"/>
      <c r="E270" s="62" t="n"/>
      <c r="F270" s="63">
        <f>IF(A270="","",Settings!$B$4)</f>
        <v/>
      </c>
      <c r="G270" s="62">
        <f>IF(E270="","",ROUND(E270*F270,2))</f>
        <v/>
      </c>
      <c r="H270" s="62">
        <f>IF(E270="","",E270+G270)</f>
        <v/>
      </c>
      <c r="I270" s="61" t="n"/>
      <c r="J270" s="64">
        <f>IF(A270="","",DATE(YEAR(A270),MONTH(A270),1))</f>
        <v/>
      </c>
      <c r="K270" s="61" t="n"/>
    </row>
    <row r="271">
      <c r="A271" s="60" t="n"/>
      <c r="B271" s="61" t="n"/>
      <c r="C271" s="61" t="n"/>
      <c r="D271" s="61" t="n"/>
      <c r="E271" s="62" t="n"/>
      <c r="F271" s="63">
        <f>IF(A271="","",Settings!$B$4)</f>
        <v/>
      </c>
      <c r="G271" s="62">
        <f>IF(E271="","",ROUND(E271*F271,2))</f>
        <v/>
      </c>
      <c r="H271" s="62">
        <f>IF(E271="","",E271+G271)</f>
        <v/>
      </c>
      <c r="I271" s="61" t="n"/>
      <c r="J271" s="64">
        <f>IF(A271="","",DATE(YEAR(A271),MONTH(A271),1))</f>
        <v/>
      </c>
      <c r="K271" s="61" t="n"/>
    </row>
    <row r="272">
      <c r="A272" s="60" t="n"/>
      <c r="B272" s="61" t="n"/>
      <c r="C272" s="61" t="n"/>
      <c r="D272" s="61" t="n"/>
      <c r="E272" s="62" t="n"/>
      <c r="F272" s="63">
        <f>IF(A272="","",Settings!$B$4)</f>
        <v/>
      </c>
      <c r="G272" s="62">
        <f>IF(E272="","",ROUND(E272*F272,2))</f>
        <v/>
      </c>
      <c r="H272" s="62">
        <f>IF(E272="","",E272+G272)</f>
        <v/>
      </c>
      <c r="I272" s="61" t="n"/>
      <c r="J272" s="64">
        <f>IF(A272="","",DATE(YEAR(A272),MONTH(A272),1))</f>
        <v/>
      </c>
      <c r="K272" s="61" t="n"/>
    </row>
    <row r="273">
      <c r="A273" s="60" t="n"/>
      <c r="B273" s="61" t="n"/>
      <c r="C273" s="61" t="n"/>
      <c r="D273" s="61" t="n"/>
      <c r="E273" s="62" t="n"/>
      <c r="F273" s="63">
        <f>IF(A273="","",Settings!$B$4)</f>
        <v/>
      </c>
      <c r="G273" s="62">
        <f>IF(E273="","",ROUND(E273*F273,2))</f>
        <v/>
      </c>
      <c r="H273" s="62">
        <f>IF(E273="","",E273+G273)</f>
        <v/>
      </c>
      <c r="I273" s="61" t="n"/>
      <c r="J273" s="64">
        <f>IF(A273="","",DATE(YEAR(A273),MONTH(A273),1))</f>
        <v/>
      </c>
      <c r="K273" s="61" t="n"/>
    </row>
    <row r="274">
      <c r="A274" s="60" t="n"/>
      <c r="B274" s="61" t="n"/>
      <c r="C274" s="61" t="n"/>
      <c r="D274" s="61" t="n"/>
      <c r="E274" s="62" t="n"/>
      <c r="F274" s="63">
        <f>IF(A274="","",Settings!$B$4)</f>
        <v/>
      </c>
      <c r="G274" s="62">
        <f>IF(E274="","",ROUND(E274*F274,2))</f>
        <v/>
      </c>
      <c r="H274" s="62">
        <f>IF(E274="","",E274+G274)</f>
        <v/>
      </c>
      <c r="I274" s="61" t="n"/>
      <c r="J274" s="64">
        <f>IF(A274="","",DATE(YEAR(A274),MONTH(A274),1))</f>
        <v/>
      </c>
      <c r="K274" s="61" t="n"/>
    </row>
    <row r="275">
      <c r="A275" s="60" t="n"/>
      <c r="B275" s="61" t="n"/>
      <c r="C275" s="61" t="n"/>
      <c r="D275" s="61" t="n"/>
      <c r="E275" s="62" t="n"/>
      <c r="F275" s="63">
        <f>IF(A275="","",Settings!$B$4)</f>
        <v/>
      </c>
      <c r="G275" s="62">
        <f>IF(E275="","",ROUND(E275*F275,2))</f>
        <v/>
      </c>
      <c r="H275" s="62">
        <f>IF(E275="","",E275+G275)</f>
        <v/>
      </c>
      <c r="I275" s="61" t="n"/>
      <c r="J275" s="64">
        <f>IF(A275="","",DATE(YEAR(A275),MONTH(A275),1))</f>
        <v/>
      </c>
      <c r="K275" s="61" t="n"/>
    </row>
    <row r="276">
      <c r="A276" s="60" t="n"/>
      <c r="B276" s="61" t="n"/>
      <c r="C276" s="61" t="n"/>
      <c r="D276" s="61" t="n"/>
      <c r="E276" s="62" t="n"/>
      <c r="F276" s="63">
        <f>IF(A276="","",Settings!$B$4)</f>
        <v/>
      </c>
      <c r="G276" s="62">
        <f>IF(E276="","",ROUND(E276*F276,2))</f>
        <v/>
      </c>
      <c r="H276" s="62">
        <f>IF(E276="","",E276+G276)</f>
        <v/>
      </c>
      <c r="I276" s="61" t="n"/>
      <c r="J276" s="64">
        <f>IF(A276="","",DATE(YEAR(A276),MONTH(A276),1))</f>
        <v/>
      </c>
      <c r="K276" s="61" t="n"/>
    </row>
    <row r="277">
      <c r="A277" s="60" t="n"/>
      <c r="B277" s="61" t="n"/>
      <c r="C277" s="61" t="n"/>
      <c r="D277" s="61" t="n"/>
      <c r="E277" s="62" t="n"/>
      <c r="F277" s="63">
        <f>IF(A277="","",Settings!$B$4)</f>
        <v/>
      </c>
      <c r="G277" s="62">
        <f>IF(E277="","",ROUND(E277*F277,2))</f>
        <v/>
      </c>
      <c r="H277" s="62">
        <f>IF(E277="","",E277+G277)</f>
        <v/>
      </c>
      <c r="I277" s="61" t="n"/>
      <c r="J277" s="64">
        <f>IF(A277="","",DATE(YEAR(A277),MONTH(A277),1))</f>
        <v/>
      </c>
      <c r="K277" s="61" t="n"/>
    </row>
  </sheetData>
  <mergeCells count="13">
    <mergeCell ref="A233:K233"/>
    <mergeCell ref="A26:K26"/>
    <mergeCell ref="A3:K3"/>
    <mergeCell ref="A187:K187"/>
    <mergeCell ref="A72:K72"/>
    <mergeCell ref="A210:K210"/>
    <mergeCell ref="A256:K256"/>
    <mergeCell ref="A95:K95"/>
    <mergeCell ref="A1:K1"/>
    <mergeCell ref="A49:K49"/>
    <mergeCell ref="A118:K118"/>
    <mergeCell ref="A164:K164"/>
    <mergeCell ref="A141:K141"/>
  </mergeCells>
  <dataValidations count="1">
    <dataValidation sqref="I5 I6 I7 I8 I9 I10 I11 I12 I13 I14 I15 I16 I17 I18 I19 I20 I21 I22 I23 I24 I28 I29 I30 I31 I32 I33 I34 I35 I36 I37 I38 I39 I40 I41 I42 I43 I44 I45 I46 I47 I51 I52 I53 I54 I55 I56 I57 I58 I59 I60 I61 I62 I63 I64 I65 I66 I67 I68 I69 I70 I74 I75 I76 I77 I78 I79 I80 I81 I82 I83 I84 I85 I86 I87 I88 I89 I90 I91 I92 I93 I97 I98 I99 I100 I101 I102 I103 I104 I105 I106 I107 I108 I109 I110 I111 I112 I113 I114 I115 I116 I120 I121 I122 I123 I124 I125 I126 I127 I128 I129 I130 I131 I132 I133 I134 I135 I136 I137 I138 I139 I143 I144 I145 I146 I147 I148 I149 I150 I151 I152 I153 I154 I155 I156 I157 I158 I159 I160 I161 I162 I166 I167 I168 I169 I170 I171 I172 I173 I174 I175 I176 I177 I178 I179 I180 I181 I182 I183 I184 I185 I189 I190 I191 I192 I193 I194 I195 I196 I197 I198 I199 I200 I201 I202 I203 I204 I205 I206 I207 I208 I212 I213 I214 I215 I216 I217 I218 I219 I220 I221 I222 I223 I224 I225 I226 I227 I228 I229 I230 I231 I235 I236 I237 I238 I239 I240 I241 I242 I243 I244 I245 I246 I247 I248 I249 I250 I251 I252 I253 I254 I258 I259 I260 I261 I262 I263 I264 I265 I266 I267 I268 I269 I270 I271 I272 I273 I274 I275 I276 I277" showDropDown="0" showInputMessage="0" showErrorMessage="0" allowBlank="1"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03"/>
  <sheetViews>
    <sheetView showGridLines="0" workbookViewId="0">
      <selection activeCell="A1" sqref="A1"/>
    </sheetView>
  </sheetViews>
  <sheetFormatPr baseColWidth="8" defaultRowHeight="15"/>
  <cols>
    <col width="13.13000011444092" customWidth="1" min="1" max="1"/>
    <col width="17.5" customWidth="1" min="2" max="2"/>
    <col width="21.25" customWidth="1" min="3" max="3"/>
    <col width="27.5" customWidth="1" min="4" max="4"/>
    <col width="18.1299991607666" customWidth="1" min="5" max="5"/>
    <col width="15" customWidth="1" min="6" max="6"/>
    <col width="10.63000011444092" customWidth="1" min="7" max="7"/>
    <col width="13.75" customWidth="1" min="8" max="8"/>
    <col width="15" customWidth="1" min="9" max="9"/>
    <col width="14.38000011444092" customWidth="1" min="10" max="10"/>
    <col width="11.88000011444092" customWidth="1" min="11" max="11"/>
    <col width="27.5" customWidth="1" min="12" max="12"/>
    <col width="13.13000011444092" customWidth="1" min="13" max="13"/>
    <col width="22.5" customWidth="1" min="14" max="14"/>
    <col width="18" customWidth="1" min="15" max="15"/>
  </cols>
  <sheetData>
    <row r="1" ht="25.5" customHeight="1">
      <c r="A1" s="4" t="inlineStr">
        <is>
          <t>ตารางค่าใช้จ่าย / ภาษีซื้อ</t>
        </is>
      </c>
    </row>
    <row r="3">
      <c r="A3" s="10" t="inlineStr">
        <is>
          <t>วันที่</t>
        </is>
      </c>
      <c r="B3" s="10" t="inlineStr">
        <is>
          <t>เลขที่บิล/ใบกำกับ</t>
        </is>
      </c>
      <c r="C3" s="10" t="inlineStr">
        <is>
          <t>ผู้ขาย</t>
        </is>
      </c>
      <c r="D3" s="10" t="inlineStr">
        <is>
          <t>รายละเอียด</t>
        </is>
      </c>
      <c r="E3" s="10" t="inlineStr">
        <is>
          <t>หมวด</t>
        </is>
      </c>
      <c r="F3" s="10" t="inlineStr">
        <is>
          <t>ยอดก่อน VAT</t>
        </is>
      </c>
      <c r="G3" s="10" t="inlineStr">
        <is>
          <t>อัตรา VAT</t>
        </is>
      </c>
      <c r="H3" s="10" t="inlineStr">
        <is>
          <t>ภาษีซื้อ</t>
        </is>
      </c>
      <c r="I3" s="10" t="inlineStr">
        <is>
          <t>ยอดรวม</t>
        </is>
      </c>
      <c r="J3" s="10" t="inlineStr">
        <is>
          <t>ขอคืน VAT ได้?</t>
        </is>
      </c>
      <c r="K3" s="10" t="inlineStr">
        <is>
          <t>เดือน</t>
        </is>
      </c>
      <c r="L3" s="10" t="inlineStr">
        <is>
          <t>ไฟล์บิล</t>
        </is>
      </c>
      <c r="M3" s="10" t="inlineStr">
        <is>
          <t>OCR Confidence</t>
        </is>
      </c>
      <c r="N3" s="10" t="inlineStr">
        <is>
          <t>หมายเหตุ</t>
        </is>
      </c>
      <c r="O3" s="74" t="inlineStr">
        <is>
          <t>ประเภทเอกสาร</t>
        </is>
      </c>
    </row>
    <row r="4">
      <c r="A4" s="49" t="n">
        <v>46192</v>
      </c>
      <c r="B4" s="14" t="inlineStr">
        <is>
          <t>DEMO-LINE-20260619</t>
        </is>
      </c>
      <c r="C4" s="14" t="inlineStr">
        <is>
          <t>Demo Supplier from LINE</t>
        </is>
      </c>
      <c r="D4" s="14" t="inlineStr">
        <is>
          <t>Demo receipt imported from LINE OCR</t>
        </is>
      </c>
      <c r="E4" s="14" t="inlineStr">
        <is>
          <t>Other</t>
        </is>
      </c>
      <c r="F4" s="48" t="n">
        <v>1000</v>
      </c>
      <c r="G4" s="50" t="n">
        <v>0.07000000000000001</v>
      </c>
      <c r="H4" s="48">
        <f>IF(F4="","",IF(J4="Yes",ROUND(F4*G4,2),0))</f>
        <v/>
      </c>
      <c r="I4" s="48">
        <f>IF(F4="","",F4+ROUND(F4*G4,2))</f>
        <v/>
      </c>
      <c r="J4" s="14" t="inlineStr">
        <is>
          <t>Yes</t>
        </is>
      </c>
      <c r="K4" s="51">
        <f>IF(A4="","",DATE(YEAR(A4),MONTH(A4),1))</f>
        <v/>
      </c>
      <c r="L4" s="14" t="inlineStr">
        <is>
          <t>demo://line-receipt-image.jpg</t>
        </is>
      </c>
      <c r="M4" s="52" t="n">
        <v>0.95</v>
      </c>
      <c r="N4" s="14" t="inlineStr">
        <is>
          <t>Demo OCR text: subtotal 1000.0, VAT 70.0, total 1070.0</t>
        </is>
      </c>
    </row>
    <row r="5">
      <c r="A5" s="49" t="n">
        <v>44008</v>
      </c>
      <c r="B5" s="14" t="inlineStr">
        <is>
          <t>-</t>
        </is>
      </c>
      <c r="C5" s="14" t="inlineStr">
        <is>
          <t>บริษัท สุจิโรจน์ จำกัด</t>
        </is>
      </c>
      <c r="D5" s="14" t="inlineStr">
        <is>
          <t>LINE receipt OCR</t>
        </is>
      </c>
      <c r="E5" s="14" t="inlineStr">
        <is>
          <t>อื่น ๆ</t>
        </is>
      </c>
      <c r="F5" s="48" t="n">
        <v>4037.38</v>
      </c>
      <c r="G5" s="50" t="n">
        <v>0.07000000000000001</v>
      </c>
      <c r="H5" s="48">
        <f>IF(F5="","",IF(J5="Yes",ROUND(F5*G5,2),0))</f>
        <v/>
      </c>
      <c r="I5" s="48">
        <f>IF(F5="","",F5+ROUND(F5*G5,2))</f>
        <v/>
      </c>
      <c r="J5" s="14" t="inlineStr">
        <is>
          <t>Yes</t>
        </is>
      </c>
      <c r="K5" s="51">
        <f>IF(A5="","",DATE(YEAR(A5),MONTH(A5),1))</f>
        <v/>
      </c>
      <c r="L5" s="14" t="inlineStr">
        <is>
          <t>C:\Users\HP\Documents\Codex\2026-06-19\excel-vat-excel\outputs\line_uploaded_receipts\20260620_104332_619239839748849893_1ccac376.jpg</t>
        </is>
      </c>
      <c r="M5" s="52" t="n">
        <v>0.8</v>
      </c>
      <c r="N5" s="14" t="inlineStr">
        <is>
          <t xml:space="preserve">ะ , 7 We ล ย ค LR 0++- ๐ 0 ค ุ ณ กั ณ ฐิ ก า ท ุ ว ิ ชา น น ท ์ (0358) ท เมี่ ธั ญ ชน ก เต ชะ ด ี 0 ๕600564 ว ร เถ ม 2569 - z 5 x 2 ณั ง | า 180 ขึ ้ น 2 | - wream ต ั อ ท ร า ย + อ ุ ป ก ร ณ์ 9: | 3 ๕ 600 ขึ้น 120.00 4320.00 </t>
        </is>
      </c>
      <c r="O5" t="inlineStr">
        <is>
          <t>บิล/ใบเสร็จ</t>
        </is>
      </c>
    </row>
    <row r="6">
      <c r="A6" s="49" t="n">
        <v>42547</v>
      </c>
      <c r="B6" s="14" t="inlineStr">
        <is>
          <t>-</t>
        </is>
      </c>
      <c r="C6" s="14" t="inlineStr">
        <is>
          <t>การไฟฟ้า</t>
        </is>
      </c>
      <c r="D6" s="14" t="inlineStr">
        <is>
          <t>LINE receipt OCR</t>
        </is>
      </c>
      <c r="E6" s="14" t="inlineStr">
        <is>
          <t>อื่น ๆ</t>
        </is>
      </c>
      <c r="F6" s="48" t="n">
        <v>2182.33</v>
      </c>
      <c r="G6" s="50" t="n">
        <v>0.07000000000000001</v>
      </c>
      <c r="H6" s="48">
        <f>IF(F6="","",IF(J6="Yes",ROUND(F6*G6,2),0))</f>
        <v/>
      </c>
      <c r="I6" s="48">
        <f>IF(F6="","",F6+ROUND(F6*G6,2))</f>
        <v/>
      </c>
      <c r="J6" s="14" t="inlineStr">
        <is>
          <t>Yes</t>
        </is>
      </c>
      <c r="K6" s="51">
        <f>IF(A6="","",DATE(YEAR(A6),MONTH(A6),1))</f>
        <v/>
      </c>
      <c r="L6" s="14" t="inlineStr">
        <is>
          <t>C:\Users\HP\Documents\Codex\2026-06-19\excel-vat-excel\outputs\line_uploaded_receipts\20260620_105926_619241439607390655_9dd8c1b6.jpg</t>
        </is>
      </c>
      <c r="M6" s="52" t="n">
        <v>1</v>
      </c>
      <c r="N6" s="14" t="inlineStr">
        <is>
          <t>เล | | ก า ร เฟ ฟ้า ศา บ า ชะ อ จํา น า ง น พ ส ม บ ู ร ณ์ เร้ ไฟ ฟ้า ส ลุ 99/53 ถุ น ร า ชิ ป a. ป) ม ป ร ะ จ ั า เตือน, JCHANO36 020004022945 6300116261 000011167534 06/2569 1125 0.0000 16/06/6812:19:33 16/06/69 12:19:39 os Grameen A Version §.91.050 สู 1 จ “ว ดิ น Gry 1,998.15 64.260 62.690 1.63 24.62 18538.000 เต ง 5000 603.00 0.1623 81.64 2,104.41 —H3+ &amp; 2,251.72 2,251.72 ฉิ ] [eee ท il ge 16/04/63 17/03/68_ 14/02/68 TT/01/88-17712768 by i 5 - แก ้ ก ร ะ แต ไฟ ฟ้า บ ั ต ชั ง 032-4 ท ป๊ 1 03</t>
        </is>
      </c>
      <c r="O6" t="inlineStr">
        <is>
          <t>ใบกำกับภาษี</t>
        </is>
      </c>
    </row>
    <row r="7">
      <c r="A7" s="49" t="n">
        <v>38164</v>
      </c>
      <c r="B7" s="14" t="inlineStr">
        <is>
          <t>150302</t>
        </is>
      </c>
      <c r="C7" s="14" t="inlineStr">
        <is>
          <t>ใบ แจ ้ ง ห น ี ้ ค ่ า น ้ า ป ร ะ ป า</t>
        </is>
      </c>
      <c r="D7" s="14" t="inlineStr">
        <is>
          <t>LINE receipt OCR</t>
        </is>
      </c>
      <c r="E7" s="14" t="inlineStr">
        <is>
          <t>อื่น ๆ</t>
        </is>
      </c>
      <c r="F7" s="48" t="n">
        <v>33</v>
      </c>
      <c r="G7" s="50" t="n">
        <v>0.07000000000000001</v>
      </c>
      <c r="H7" s="48">
        <f>IF(F7="","",IF(J7="Yes",ROUND(F7*G7,2),0))</f>
        <v/>
      </c>
      <c r="I7" s="48">
        <f>IF(F7="","",F7+ROUND(F7*G7,2))</f>
        <v/>
      </c>
      <c r="J7" s="14" t="inlineStr">
        <is>
          <t>Yes</t>
        </is>
      </c>
      <c r="K7" s="51">
        <f>IF(A7="","",DATE(YEAR(A7),MONTH(A7),1))</f>
        <v/>
      </c>
      <c r="L7" s="14" t="inlineStr">
        <is>
          <t>C:\Users\HP\Documents\Codex\2026-06-19\excel-vat-excel\outputs\line_uploaded_receipts\20260620_112355_619243903895470345_e635d6a8.jpg</t>
        </is>
      </c>
      <c r="M7" s="52" t="n">
        <v>1</v>
      </c>
      <c r="N7" s="14" t="inlineStr">
        <is>
          <t>ใบ แจ ้ ง ห น ี ้ ค ่ า น ้ า ป ร ะ ป า ค ่ า ขยะ แล ะ ค ่ า บ ํ า บ ั ด น ํ า เส ี ย ก อ ง ก า ร ป ร ะ ป า เท ศ บ า ล เม ื อ ง ชะ อ ํ า ‘Municipality Waterworks Authority Cha-Am 503 ถ . เ พ ชร เก ษ ม ต ํ า บ ล ขะ อ ํ า อ ํ า เภ อ ซะ อ ํ า เพ ชร บ ุ ร ี 76120 .503 Phet Kasem Rd., Cha-am, Cha-am, Phetchaburi 76120 เล ข ป ร ะ จ ้ า ต ั ว ผู ้ เส ี ย ภา ษี / โ ล ID : 0994000541872 ้ า ป ร ะ จ ํ า เล ่ ม ท ี ่ เล ข ท ี ่ ใบ เส ร ็ จ เข ต เล ข ท ี ่ ผู ้ ใช ้ น ้ า 2 ท 20 69-4142| 3 | 94 ว ซื ่ อ ผู้</t>
        </is>
      </c>
      <c r="O7" t="inlineStr">
        <is>
          <t>ใบเสร็จ</t>
        </is>
      </c>
    </row>
    <row r="8">
      <c r="A8" s="49" t="n"/>
      <c r="B8" s="14" t="n"/>
      <c r="C8" s="14" t="n"/>
      <c r="D8" s="14" t="n"/>
      <c r="E8" s="14" t="n"/>
      <c r="F8" s="48" t="n"/>
      <c r="G8" s="50">
        <f>IF(A8="","",Settings!$B$4)</f>
        <v/>
      </c>
      <c r="H8" s="48">
        <f>IF(F8="","",IF(J8="Yes",ROUND(F8*G8,2),0))</f>
        <v/>
      </c>
      <c r="I8" s="48">
        <f>IF(F8="","",F8+ROUND(F8*G8,2))</f>
        <v/>
      </c>
      <c r="J8" s="14" t="n"/>
      <c r="K8" s="51">
        <f>IF(A8="","",DATE(YEAR(A8),MONTH(A8),1))</f>
        <v/>
      </c>
      <c r="L8" s="14" t="n"/>
      <c r="M8" s="52" t="n"/>
      <c r="N8" s="14" t="n"/>
    </row>
    <row r="9">
      <c r="A9" s="49" t="n"/>
      <c r="B9" s="14" t="n"/>
      <c r="C9" s="14" t="n"/>
      <c r="D9" s="14" t="n"/>
      <c r="E9" s="14" t="n"/>
      <c r="F9" s="48" t="n"/>
      <c r="G9" s="50">
        <f>IF(A9="","",Settings!$B$4)</f>
        <v/>
      </c>
      <c r="H9" s="48">
        <f>IF(F9="","",IF(J9="Yes",ROUND(F9*G9,2),0))</f>
        <v/>
      </c>
      <c r="I9" s="48">
        <f>IF(F9="","",F9+ROUND(F9*G9,2))</f>
        <v/>
      </c>
      <c r="J9" s="14" t="n"/>
      <c r="K9" s="51">
        <f>IF(A9="","",DATE(YEAR(A9),MONTH(A9),1))</f>
        <v/>
      </c>
      <c r="L9" s="14" t="n"/>
      <c r="M9" s="52" t="n"/>
      <c r="N9" s="14" t="n"/>
    </row>
    <row r="10">
      <c r="A10" s="49" t="n"/>
      <c r="B10" s="14" t="n"/>
      <c r="C10" s="14" t="n"/>
      <c r="D10" s="14" t="n"/>
      <c r="E10" s="14" t="n"/>
      <c r="F10" s="48" t="n"/>
      <c r="G10" s="50">
        <f>IF(A10="","",Settings!$B$4)</f>
        <v/>
      </c>
      <c r="H10" s="48">
        <f>IF(F10="","",IF(J10="Yes",ROUND(F10*G10,2),0))</f>
        <v/>
      </c>
      <c r="I10" s="48">
        <f>IF(F10="","",F10+ROUND(F10*G10,2))</f>
        <v/>
      </c>
      <c r="J10" s="14" t="n"/>
      <c r="K10" s="51">
        <f>IF(A10="","",DATE(YEAR(A10),MONTH(A10),1))</f>
        <v/>
      </c>
      <c r="L10" s="14" t="n"/>
      <c r="M10" s="52" t="n"/>
      <c r="N10" s="14" t="n"/>
    </row>
    <row r="11">
      <c r="A11" s="49" t="n"/>
      <c r="B11" s="14" t="n"/>
      <c r="C11" s="14" t="n"/>
      <c r="D11" s="14" t="n"/>
      <c r="E11" s="14" t="n"/>
      <c r="F11" s="48" t="n"/>
      <c r="G11" s="50">
        <f>IF(A11="","",Settings!$B$4)</f>
        <v/>
      </c>
      <c r="H11" s="48">
        <f>IF(F11="","",IF(J11="Yes",ROUND(F11*G11,2),0))</f>
        <v/>
      </c>
      <c r="I11" s="48">
        <f>IF(F11="","",F11+ROUND(F11*G11,2))</f>
        <v/>
      </c>
      <c r="J11" s="14" t="n"/>
      <c r="K11" s="51">
        <f>IF(A11="","",DATE(YEAR(A11),MONTH(A11),1))</f>
        <v/>
      </c>
      <c r="L11" s="14" t="n"/>
      <c r="M11" s="52" t="n"/>
      <c r="N11" s="14" t="n"/>
    </row>
    <row r="12">
      <c r="A12" s="49" t="n"/>
      <c r="B12" s="14" t="n"/>
      <c r="C12" s="14" t="n"/>
      <c r="D12" s="14" t="n"/>
      <c r="E12" s="14" t="n"/>
      <c r="F12" s="48" t="n"/>
      <c r="G12" s="50">
        <f>IF(A12="","",Settings!$B$4)</f>
        <v/>
      </c>
      <c r="H12" s="48">
        <f>IF(F12="","",IF(J12="Yes",ROUND(F12*G12,2),0))</f>
        <v/>
      </c>
      <c r="I12" s="48">
        <f>IF(F12="","",F12+ROUND(F12*G12,2))</f>
        <v/>
      </c>
      <c r="J12" s="14" t="n"/>
      <c r="K12" s="51">
        <f>IF(A12="","",DATE(YEAR(A12),MONTH(A12),1))</f>
        <v/>
      </c>
      <c r="L12" s="14" t="n"/>
      <c r="M12" s="52" t="n"/>
      <c r="N12" s="14" t="n"/>
    </row>
    <row r="13">
      <c r="A13" s="49" t="n"/>
      <c r="B13" s="14" t="n"/>
      <c r="C13" s="14" t="n"/>
      <c r="D13" s="14" t="n"/>
      <c r="E13" s="14" t="n"/>
      <c r="F13" s="48" t="n"/>
      <c r="G13" s="50">
        <f>IF(A13="","",Settings!$B$4)</f>
        <v/>
      </c>
      <c r="H13" s="48">
        <f>IF(F13="","",IF(J13="Yes",ROUND(F13*G13,2),0))</f>
        <v/>
      </c>
      <c r="I13" s="48">
        <f>IF(F13="","",F13+ROUND(F13*G13,2))</f>
        <v/>
      </c>
      <c r="J13" s="14" t="n"/>
      <c r="K13" s="51">
        <f>IF(A13="","",DATE(YEAR(A13),MONTH(A13),1))</f>
        <v/>
      </c>
      <c r="L13" s="14" t="n"/>
      <c r="M13" s="52" t="n"/>
      <c r="N13" s="14" t="n"/>
    </row>
    <row r="14">
      <c r="A14" s="49" t="n"/>
      <c r="B14" s="14" t="n"/>
      <c r="C14" s="14" t="n"/>
      <c r="D14" s="14" t="n"/>
      <c r="E14" s="14" t="n"/>
      <c r="F14" s="48" t="n"/>
      <c r="G14" s="50">
        <f>IF(A14="","",Settings!$B$4)</f>
        <v/>
      </c>
      <c r="H14" s="48">
        <f>IF(F14="","",IF(J14="Yes",ROUND(F14*G14,2),0))</f>
        <v/>
      </c>
      <c r="I14" s="48">
        <f>IF(F14="","",F14+ROUND(F14*G14,2))</f>
        <v/>
      </c>
      <c r="J14" s="14" t="n"/>
      <c r="K14" s="51">
        <f>IF(A14="","",DATE(YEAR(A14),MONTH(A14),1))</f>
        <v/>
      </c>
      <c r="L14" s="14" t="n"/>
      <c r="M14" s="52" t="n"/>
      <c r="N14" s="14" t="n"/>
    </row>
    <row r="15">
      <c r="A15" s="49" t="n"/>
      <c r="B15" s="14" t="n"/>
      <c r="C15" s="14" t="n"/>
      <c r="D15" s="14" t="n"/>
      <c r="E15" s="14" t="n"/>
      <c r="F15" s="48" t="n"/>
      <c r="G15" s="50">
        <f>IF(A15="","",Settings!$B$4)</f>
        <v/>
      </c>
      <c r="H15" s="48">
        <f>IF(F15="","",IF(J15="Yes",ROUND(F15*G15,2),0))</f>
        <v/>
      </c>
      <c r="I15" s="48">
        <f>IF(F15="","",F15+ROUND(F15*G15,2))</f>
        <v/>
      </c>
      <c r="J15" s="14" t="n"/>
      <c r="K15" s="51">
        <f>IF(A15="","",DATE(YEAR(A15),MONTH(A15),1))</f>
        <v/>
      </c>
      <c r="L15" s="14" t="n"/>
      <c r="M15" s="52" t="n"/>
      <c r="N15" s="14" t="n"/>
    </row>
    <row r="16">
      <c r="A16" s="49" t="n"/>
      <c r="B16" s="14" t="n"/>
      <c r="C16" s="14" t="n"/>
      <c r="D16" s="14" t="n"/>
      <c r="E16" s="14" t="n"/>
      <c r="F16" s="48" t="n"/>
      <c r="G16" s="50">
        <f>IF(A16="","",Settings!$B$4)</f>
        <v/>
      </c>
      <c r="H16" s="48">
        <f>IF(F16="","",IF(J16="Yes",ROUND(F16*G16,2),0))</f>
        <v/>
      </c>
      <c r="I16" s="48">
        <f>IF(F16="","",F16+ROUND(F16*G16,2))</f>
        <v/>
      </c>
      <c r="J16" s="14" t="n"/>
      <c r="K16" s="51">
        <f>IF(A16="","",DATE(YEAR(A16),MONTH(A16),1))</f>
        <v/>
      </c>
      <c r="L16" s="14" t="n"/>
      <c r="M16" s="52" t="n"/>
      <c r="N16" s="14" t="n"/>
    </row>
    <row r="17">
      <c r="A17" s="49" t="n"/>
      <c r="B17" s="14" t="n"/>
      <c r="C17" s="14" t="n"/>
      <c r="D17" s="14" t="n"/>
      <c r="E17" s="14" t="n"/>
      <c r="F17" s="48" t="n"/>
      <c r="G17" s="50">
        <f>IF(A17="","",Settings!$B$4)</f>
        <v/>
      </c>
      <c r="H17" s="48">
        <f>IF(F17="","",IF(J17="Yes",ROUND(F17*G17,2),0))</f>
        <v/>
      </c>
      <c r="I17" s="48">
        <f>IF(F17="","",F17+ROUND(F17*G17,2))</f>
        <v/>
      </c>
      <c r="J17" s="14" t="n"/>
      <c r="K17" s="51">
        <f>IF(A17="","",DATE(YEAR(A17),MONTH(A17),1))</f>
        <v/>
      </c>
      <c r="L17" s="14" t="n"/>
      <c r="M17" s="52" t="n"/>
      <c r="N17" s="14" t="n"/>
    </row>
    <row r="18">
      <c r="A18" s="49" t="n"/>
      <c r="B18" s="14" t="n"/>
      <c r="C18" s="14" t="n"/>
      <c r="D18" s="14" t="n"/>
      <c r="E18" s="14" t="n"/>
      <c r="F18" s="48" t="n"/>
      <c r="G18" s="50">
        <f>IF(A18="","",Settings!$B$4)</f>
        <v/>
      </c>
      <c r="H18" s="48">
        <f>IF(F18="","",IF(J18="Yes",ROUND(F18*G18,2),0))</f>
        <v/>
      </c>
      <c r="I18" s="48">
        <f>IF(F18="","",F18+ROUND(F18*G18,2))</f>
        <v/>
      </c>
      <c r="J18" s="14" t="n"/>
      <c r="K18" s="51">
        <f>IF(A18="","",DATE(YEAR(A18),MONTH(A18),1))</f>
        <v/>
      </c>
      <c r="L18" s="14" t="n"/>
      <c r="M18" s="52" t="n"/>
      <c r="N18" s="14" t="n"/>
    </row>
    <row r="19">
      <c r="A19" s="49" t="n"/>
      <c r="B19" s="14" t="n"/>
      <c r="C19" s="14" t="n"/>
      <c r="D19" s="14" t="n"/>
      <c r="E19" s="14" t="n"/>
      <c r="F19" s="48" t="n"/>
      <c r="G19" s="50">
        <f>IF(A19="","",Settings!$B$4)</f>
        <v/>
      </c>
      <c r="H19" s="48">
        <f>IF(F19="","",IF(J19="Yes",ROUND(F19*G19,2),0))</f>
        <v/>
      </c>
      <c r="I19" s="48">
        <f>IF(F19="","",F19+ROUND(F19*G19,2))</f>
        <v/>
      </c>
      <c r="J19" s="14" t="n"/>
      <c r="K19" s="51">
        <f>IF(A19="","",DATE(YEAR(A19),MONTH(A19),1))</f>
        <v/>
      </c>
      <c r="L19" s="14" t="n"/>
      <c r="M19" s="52" t="n"/>
      <c r="N19" s="14" t="n"/>
    </row>
    <row r="20">
      <c r="A20" s="49" t="n"/>
      <c r="B20" s="14" t="n"/>
      <c r="C20" s="14" t="n"/>
      <c r="D20" s="14" t="n"/>
      <c r="E20" s="14" t="n"/>
      <c r="F20" s="48" t="n"/>
      <c r="G20" s="50">
        <f>IF(A20="","",Settings!$B$4)</f>
        <v/>
      </c>
      <c r="H20" s="48">
        <f>IF(F20="","",IF(J20="Yes",ROUND(F20*G20,2),0))</f>
        <v/>
      </c>
      <c r="I20" s="48">
        <f>IF(F20="","",F20+ROUND(F20*G20,2))</f>
        <v/>
      </c>
      <c r="J20" s="14" t="n"/>
      <c r="K20" s="51">
        <f>IF(A20="","",DATE(YEAR(A20),MONTH(A20),1))</f>
        <v/>
      </c>
      <c r="L20" s="14" t="n"/>
      <c r="M20" s="52" t="n"/>
      <c r="N20" s="14" t="n"/>
    </row>
    <row r="21">
      <c r="A21" s="49" t="n"/>
      <c r="B21" s="14" t="n"/>
      <c r="C21" s="14" t="n"/>
      <c r="D21" s="14" t="n"/>
      <c r="E21" s="14" t="n"/>
      <c r="F21" s="48" t="n"/>
      <c r="G21" s="50">
        <f>IF(A21="","",Settings!$B$4)</f>
        <v/>
      </c>
      <c r="H21" s="48">
        <f>IF(F21="","",IF(J21="Yes",ROUND(F21*G21,2),0))</f>
        <v/>
      </c>
      <c r="I21" s="48">
        <f>IF(F21="","",F21+ROUND(F21*G21,2))</f>
        <v/>
      </c>
      <c r="J21" s="14" t="n"/>
      <c r="K21" s="51">
        <f>IF(A21="","",DATE(YEAR(A21),MONTH(A21),1))</f>
        <v/>
      </c>
      <c r="L21" s="14" t="n"/>
      <c r="M21" s="52" t="n"/>
      <c r="N21" s="14" t="n"/>
    </row>
    <row r="22">
      <c r="A22" s="49" t="n"/>
      <c r="B22" s="14" t="n"/>
      <c r="C22" s="14" t="n"/>
      <c r="D22" s="14" t="n"/>
      <c r="E22" s="14" t="n"/>
      <c r="F22" s="48" t="n"/>
      <c r="G22" s="50">
        <f>IF(A22="","",Settings!$B$4)</f>
        <v/>
      </c>
      <c r="H22" s="48">
        <f>IF(F22="","",IF(J22="Yes",ROUND(F22*G22,2),0))</f>
        <v/>
      </c>
      <c r="I22" s="48">
        <f>IF(F22="","",F22+ROUND(F22*G22,2))</f>
        <v/>
      </c>
      <c r="J22" s="14" t="n"/>
      <c r="K22" s="51">
        <f>IF(A22="","",DATE(YEAR(A22),MONTH(A22),1))</f>
        <v/>
      </c>
      <c r="L22" s="14" t="n"/>
      <c r="M22" s="52" t="n"/>
      <c r="N22" s="14" t="n"/>
    </row>
    <row r="23">
      <c r="A23" s="49" t="n"/>
      <c r="B23" s="14" t="n"/>
      <c r="C23" s="14" t="n"/>
      <c r="D23" s="14" t="n"/>
      <c r="E23" s="14" t="n"/>
      <c r="F23" s="48" t="n"/>
      <c r="G23" s="50">
        <f>IF(A23="","",Settings!$B$4)</f>
        <v/>
      </c>
      <c r="H23" s="48">
        <f>IF(F23="","",IF(J23="Yes",ROUND(F23*G23,2),0))</f>
        <v/>
      </c>
      <c r="I23" s="48">
        <f>IF(F23="","",F23+ROUND(F23*G23,2))</f>
        <v/>
      </c>
      <c r="J23" s="14" t="n"/>
      <c r="K23" s="51">
        <f>IF(A23="","",DATE(YEAR(A23),MONTH(A23),1))</f>
        <v/>
      </c>
      <c r="L23" s="14" t="n"/>
      <c r="M23" s="52" t="n"/>
      <c r="N23" s="14" t="n"/>
    </row>
    <row r="24">
      <c r="A24" s="49" t="n"/>
      <c r="B24" s="14" t="n"/>
      <c r="C24" s="14" t="n"/>
      <c r="D24" s="14" t="n"/>
      <c r="E24" s="14" t="n"/>
      <c r="F24" s="48" t="n"/>
      <c r="G24" s="50">
        <f>IF(A24="","",Settings!$B$4)</f>
        <v/>
      </c>
      <c r="H24" s="48">
        <f>IF(F24="","",IF(J24="Yes",ROUND(F24*G24,2),0))</f>
        <v/>
      </c>
      <c r="I24" s="48">
        <f>IF(F24="","",F24+ROUND(F24*G24,2))</f>
        <v/>
      </c>
      <c r="J24" s="14" t="n"/>
      <c r="K24" s="51">
        <f>IF(A24="","",DATE(YEAR(A24),MONTH(A24),1))</f>
        <v/>
      </c>
      <c r="L24" s="14" t="n"/>
      <c r="M24" s="52" t="n"/>
      <c r="N24" s="14" t="n"/>
    </row>
    <row r="25">
      <c r="A25" s="49" t="n"/>
      <c r="B25" s="14" t="n"/>
      <c r="C25" s="14" t="n"/>
      <c r="D25" s="14" t="n"/>
      <c r="E25" s="14" t="n"/>
      <c r="F25" s="48" t="n"/>
      <c r="G25" s="50">
        <f>IF(A25="","",Settings!$B$4)</f>
        <v/>
      </c>
      <c r="H25" s="48">
        <f>IF(F25="","",IF(J25="Yes",ROUND(F25*G25,2),0))</f>
        <v/>
      </c>
      <c r="I25" s="48">
        <f>IF(F25="","",F25+ROUND(F25*G25,2))</f>
        <v/>
      </c>
      <c r="J25" s="14" t="n"/>
      <c r="K25" s="51">
        <f>IF(A25="","",DATE(YEAR(A25),MONTH(A25),1))</f>
        <v/>
      </c>
      <c r="L25" s="14" t="n"/>
      <c r="M25" s="52" t="n"/>
      <c r="N25" s="14" t="n"/>
    </row>
    <row r="26">
      <c r="A26" s="49" t="n"/>
      <c r="B26" s="14" t="n"/>
      <c r="C26" s="14" t="n"/>
      <c r="D26" s="14" t="n"/>
      <c r="E26" s="14" t="n"/>
      <c r="F26" s="48" t="n"/>
      <c r="G26" s="50">
        <f>IF(A26="","",Settings!$B$4)</f>
        <v/>
      </c>
      <c r="H26" s="48">
        <f>IF(F26="","",IF(J26="Yes",ROUND(F26*G26,2),0))</f>
        <v/>
      </c>
      <c r="I26" s="48">
        <f>IF(F26="","",F26+ROUND(F26*G26,2))</f>
        <v/>
      </c>
      <c r="J26" s="14" t="n"/>
      <c r="K26" s="51">
        <f>IF(A26="","",DATE(YEAR(A26),MONTH(A26),1))</f>
        <v/>
      </c>
      <c r="L26" s="14" t="n"/>
      <c r="M26" s="52" t="n"/>
      <c r="N26" s="14" t="n"/>
    </row>
    <row r="27">
      <c r="A27" s="49" t="n"/>
      <c r="B27" s="14" t="n"/>
      <c r="C27" s="14" t="n"/>
      <c r="D27" s="14" t="n"/>
      <c r="E27" s="14" t="n"/>
      <c r="F27" s="48" t="n"/>
      <c r="G27" s="50">
        <f>IF(A27="","",Settings!$B$4)</f>
        <v/>
      </c>
      <c r="H27" s="48">
        <f>IF(F27="","",IF(J27="Yes",ROUND(F27*G27,2),0))</f>
        <v/>
      </c>
      <c r="I27" s="48">
        <f>IF(F27="","",F27+ROUND(F27*G27,2))</f>
        <v/>
      </c>
      <c r="J27" s="14" t="n"/>
      <c r="K27" s="51">
        <f>IF(A27="","",DATE(YEAR(A27),MONTH(A27),1))</f>
        <v/>
      </c>
      <c r="L27" s="14" t="n"/>
      <c r="M27" s="52" t="n"/>
      <c r="N27" s="14" t="n"/>
    </row>
    <row r="28">
      <c r="A28" s="49" t="n"/>
      <c r="B28" s="14" t="n"/>
      <c r="C28" s="14" t="n"/>
      <c r="D28" s="14" t="n"/>
      <c r="E28" s="14" t="n"/>
      <c r="F28" s="48" t="n"/>
      <c r="G28" s="50">
        <f>IF(A28="","",Settings!$B$4)</f>
        <v/>
      </c>
      <c r="H28" s="48">
        <f>IF(F28="","",IF(J28="Yes",ROUND(F28*G28,2),0))</f>
        <v/>
      </c>
      <c r="I28" s="48">
        <f>IF(F28="","",F28+ROUND(F28*G28,2))</f>
        <v/>
      </c>
      <c r="J28" s="14" t="n"/>
      <c r="K28" s="51">
        <f>IF(A28="","",DATE(YEAR(A28),MONTH(A28),1))</f>
        <v/>
      </c>
      <c r="L28" s="14" t="n"/>
      <c r="M28" s="52" t="n"/>
      <c r="N28" s="14" t="n"/>
    </row>
    <row r="29">
      <c r="A29" s="49" t="n"/>
      <c r="B29" s="14" t="n"/>
      <c r="C29" s="14" t="n"/>
      <c r="D29" s="14" t="n"/>
      <c r="E29" s="14" t="n"/>
      <c r="F29" s="48" t="n"/>
      <c r="G29" s="50">
        <f>IF(A29="","",Settings!$B$4)</f>
        <v/>
      </c>
      <c r="H29" s="48">
        <f>IF(F29="","",IF(J29="Yes",ROUND(F29*G29,2),0))</f>
        <v/>
      </c>
      <c r="I29" s="48">
        <f>IF(F29="","",F29+ROUND(F29*G29,2))</f>
        <v/>
      </c>
      <c r="J29" s="14" t="n"/>
      <c r="K29" s="51">
        <f>IF(A29="","",DATE(YEAR(A29),MONTH(A29),1))</f>
        <v/>
      </c>
      <c r="L29" s="14" t="n"/>
      <c r="M29" s="52" t="n"/>
      <c r="N29" s="14" t="n"/>
    </row>
    <row r="30">
      <c r="A30" s="49" t="n"/>
      <c r="B30" s="14" t="n"/>
      <c r="C30" s="14" t="n"/>
      <c r="D30" s="14" t="n"/>
      <c r="E30" s="14" t="n"/>
      <c r="F30" s="48" t="n"/>
      <c r="G30" s="50">
        <f>IF(A30="","",Settings!$B$4)</f>
        <v/>
      </c>
      <c r="H30" s="48">
        <f>IF(F30="","",IF(J30="Yes",ROUND(F30*G30,2),0))</f>
        <v/>
      </c>
      <c r="I30" s="48">
        <f>IF(F30="","",F30+ROUND(F30*G30,2))</f>
        <v/>
      </c>
      <c r="J30" s="14" t="n"/>
      <c r="K30" s="51">
        <f>IF(A30="","",DATE(YEAR(A30),MONTH(A30),1))</f>
        <v/>
      </c>
      <c r="L30" s="14" t="n"/>
      <c r="M30" s="52" t="n"/>
      <c r="N30" s="14" t="n"/>
    </row>
    <row r="31">
      <c r="A31" s="49" t="n"/>
      <c r="B31" s="14" t="n"/>
      <c r="C31" s="14" t="n"/>
      <c r="D31" s="14" t="n"/>
      <c r="E31" s="14" t="n"/>
      <c r="F31" s="48" t="n"/>
      <c r="G31" s="50">
        <f>IF(A31="","",Settings!$B$4)</f>
        <v/>
      </c>
      <c r="H31" s="48">
        <f>IF(F31="","",IF(J31="Yes",ROUND(F31*G31,2),0))</f>
        <v/>
      </c>
      <c r="I31" s="48">
        <f>IF(F31="","",F31+ROUND(F31*G31,2))</f>
        <v/>
      </c>
      <c r="J31" s="14" t="n"/>
      <c r="K31" s="51">
        <f>IF(A31="","",DATE(YEAR(A31),MONTH(A31),1))</f>
        <v/>
      </c>
      <c r="L31" s="14" t="n"/>
      <c r="M31" s="52" t="n"/>
      <c r="N31" s="14" t="n"/>
    </row>
    <row r="32">
      <c r="A32" s="49" t="n"/>
      <c r="B32" s="14" t="n"/>
      <c r="C32" s="14" t="n"/>
      <c r="D32" s="14" t="n"/>
      <c r="E32" s="14" t="n"/>
      <c r="F32" s="48" t="n"/>
      <c r="G32" s="50">
        <f>IF(A32="","",Settings!$B$4)</f>
        <v/>
      </c>
      <c r="H32" s="48">
        <f>IF(F32="","",IF(J32="Yes",ROUND(F32*G32,2),0))</f>
        <v/>
      </c>
      <c r="I32" s="48">
        <f>IF(F32="","",F32+ROUND(F32*G32,2))</f>
        <v/>
      </c>
      <c r="J32" s="14" t="n"/>
      <c r="K32" s="51">
        <f>IF(A32="","",DATE(YEAR(A32),MONTH(A32),1))</f>
        <v/>
      </c>
      <c r="L32" s="14" t="n"/>
      <c r="M32" s="52" t="n"/>
      <c r="N32" s="14" t="n"/>
    </row>
    <row r="33">
      <c r="A33" s="49" t="n"/>
      <c r="B33" s="14" t="n"/>
      <c r="C33" s="14" t="n"/>
      <c r="D33" s="14" t="n"/>
      <c r="E33" s="14" t="n"/>
      <c r="F33" s="48" t="n"/>
      <c r="G33" s="50">
        <f>IF(A33="","",Settings!$B$4)</f>
        <v/>
      </c>
      <c r="H33" s="48">
        <f>IF(F33="","",IF(J33="Yes",ROUND(F33*G33,2),0))</f>
        <v/>
      </c>
      <c r="I33" s="48">
        <f>IF(F33="","",F33+ROUND(F33*G33,2))</f>
        <v/>
      </c>
      <c r="J33" s="14" t="n"/>
      <c r="K33" s="51">
        <f>IF(A33="","",DATE(YEAR(A33),MONTH(A33),1))</f>
        <v/>
      </c>
      <c r="L33" s="14" t="n"/>
      <c r="M33" s="52" t="n"/>
      <c r="N33" s="14" t="n"/>
    </row>
    <row r="34">
      <c r="A34" s="49" t="n"/>
      <c r="B34" s="14" t="n"/>
      <c r="C34" s="14" t="n"/>
      <c r="D34" s="14" t="n"/>
      <c r="E34" s="14" t="n"/>
      <c r="F34" s="48" t="n"/>
      <c r="G34" s="50">
        <f>IF(A34="","",Settings!$B$4)</f>
        <v/>
      </c>
      <c r="H34" s="48">
        <f>IF(F34="","",IF(J34="Yes",ROUND(F34*G34,2),0))</f>
        <v/>
      </c>
      <c r="I34" s="48">
        <f>IF(F34="","",F34+ROUND(F34*G34,2))</f>
        <v/>
      </c>
      <c r="J34" s="14" t="n"/>
      <c r="K34" s="51">
        <f>IF(A34="","",DATE(YEAR(A34),MONTH(A34),1))</f>
        <v/>
      </c>
      <c r="L34" s="14" t="n"/>
      <c r="M34" s="52" t="n"/>
      <c r="N34" s="14" t="n"/>
    </row>
    <row r="35">
      <c r="A35" s="49" t="n"/>
      <c r="B35" s="14" t="n"/>
      <c r="C35" s="14" t="n"/>
      <c r="D35" s="14" t="n"/>
      <c r="E35" s="14" t="n"/>
      <c r="F35" s="48" t="n"/>
      <c r="G35" s="50">
        <f>IF(A35="","",Settings!$B$4)</f>
        <v/>
      </c>
      <c r="H35" s="48">
        <f>IF(F35="","",IF(J35="Yes",ROUND(F35*G35,2),0))</f>
        <v/>
      </c>
      <c r="I35" s="48">
        <f>IF(F35="","",F35+ROUND(F35*G35,2))</f>
        <v/>
      </c>
      <c r="J35" s="14" t="n"/>
      <c r="K35" s="51">
        <f>IF(A35="","",DATE(YEAR(A35),MONTH(A35),1))</f>
        <v/>
      </c>
      <c r="L35" s="14" t="n"/>
      <c r="M35" s="52" t="n"/>
      <c r="N35" s="14" t="n"/>
    </row>
    <row r="36">
      <c r="A36" s="49" t="n"/>
      <c r="B36" s="14" t="n"/>
      <c r="C36" s="14" t="n"/>
      <c r="D36" s="14" t="n"/>
      <c r="E36" s="14" t="n"/>
      <c r="F36" s="48" t="n"/>
      <c r="G36" s="50">
        <f>IF(A36="","",Settings!$B$4)</f>
        <v/>
      </c>
      <c r="H36" s="48">
        <f>IF(F36="","",IF(J36="Yes",ROUND(F36*G36,2),0))</f>
        <v/>
      </c>
      <c r="I36" s="48">
        <f>IF(F36="","",F36+ROUND(F36*G36,2))</f>
        <v/>
      </c>
      <c r="J36" s="14" t="n"/>
      <c r="K36" s="51">
        <f>IF(A36="","",DATE(YEAR(A36),MONTH(A36),1))</f>
        <v/>
      </c>
      <c r="L36" s="14" t="n"/>
      <c r="M36" s="52" t="n"/>
      <c r="N36" s="14" t="n"/>
    </row>
    <row r="37">
      <c r="A37" s="49" t="n"/>
      <c r="B37" s="14" t="n"/>
      <c r="C37" s="14" t="n"/>
      <c r="D37" s="14" t="n"/>
      <c r="E37" s="14" t="n"/>
      <c r="F37" s="48" t="n"/>
      <c r="G37" s="50">
        <f>IF(A37="","",Settings!$B$4)</f>
        <v/>
      </c>
      <c r="H37" s="48">
        <f>IF(F37="","",IF(J37="Yes",ROUND(F37*G37,2),0))</f>
        <v/>
      </c>
      <c r="I37" s="48">
        <f>IF(F37="","",F37+ROUND(F37*G37,2))</f>
        <v/>
      </c>
      <c r="J37" s="14" t="n"/>
      <c r="K37" s="51">
        <f>IF(A37="","",DATE(YEAR(A37),MONTH(A37),1))</f>
        <v/>
      </c>
      <c r="L37" s="14" t="n"/>
      <c r="M37" s="52" t="n"/>
      <c r="N37" s="14" t="n"/>
    </row>
    <row r="38">
      <c r="A38" s="49" t="n"/>
      <c r="B38" s="14" t="n"/>
      <c r="C38" s="14" t="n"/>
      <c r="D38" s="14" t="n"/>
      <c r="E38" s="14" t="n"/>
      <c r="F38" s="48" t="n"/>
      <c r="G38" s="50">
        <f>IF(A38="","",Settings!$B$4)</f>
        <v/>
      </c>
      <c r="H38" s="48">
        <f>IF(F38="","",IF(J38="Yes",ROUND(F38*G38,2),0))</f>
        <v/>
      </c>
      <c r="I38" s="48">
        <f>IF(F38="","",F38+ROUND(F38*G38,2))</f>
        <v/>
      </c>
      <c r="J38" s="14" t="n"/>
      <c r="K38" s="51">
        <f>IF(A38="","",DATE(YEAR(A38),MONTH(A38),1))</f>
        <v/>
      </c>
      <c r="L38" s="14" t="n"/>
      <c r="M38" s="52" t="n"/>
      <c r="N38" s="14" t="n"/>
    </row>
    <row r="39">
      <c r="A39" s="49" t="n"/>
      <c r="B39" s="14" t="n"/>
      <c r="C39" s="14" t="n"/>
      <c r="D39" s="14" t="n"/>
      <c r="E39" s="14" t="n"/>
      <c r="F39" s="48" t="n"/>
      <c r="G39" s="50">
        <f>IF(A39="","",Settings!$B$4)</f>
        <v/>
      </c>
      <c r="H39" s="48">
        <f>IF(F39="","",IF(J39="Yes",ROUND(F39*G39,2),0))</f>
        <v/>
      </c>
      <c r="I39" s="48">
        <f>IF(F39="","",F39+ROUND(F39*G39,2))</f>
        <v/>
      </c>
      <c r="J39" s="14" t="n"/>
      <c r="K39" s="51">
        <f>IF(A39="","",DATE(YEAR(A39),MONTH(A39),1))</f>
        <v/>
      </c>
      <c r="L39" s="14" t="n"/>
      <c r="M39" s="52" t="n"/>
      <c r="N39" s="14" t="n"/>
    </row>
    <row r="40">
      <c r="A40" s="49" t="n"/>
      <c r="B40" s="14" t="n"/>
      <c r="C40" s="14" t="n"/>
      <c r="D40" s="14" t="n"/>
      <c r="E40" s="14" t="n"/>
      <c r="F40" s="48" t="n"/>
      <c r="G40" s="50">
        <f>IF(A40="","",Settings!$B$4)</f>
        <v/>
      </c>
      <c r="H40" s="48">
        <f>IF(F40="","",IF(J40="Yes",ROUND(F40*G40,2),0))</f>
        <v/>
      </c>
      <c r="I40" s="48">
        <f>IF(F40="","",F40+ROUND(F40*G40,2))</f>
        <v/>
      </c>
      <c r="J40" s="14" t="n"/>
      <c r="K40" s="51">
        <f>IF(A40="","",DATE(YEAR(A40),MONTH(A40),1))</f>
        <v/>
      </c>
      <c r="L40" s="14" t="n"/>
      <c r="M40" s="52" t="n"/>
      <c r="N40" s="14" t="n"/>
    </row>
    <row r="41">
      <c r="A41" s="49" t="n"/>
      <c r="B41" s="14" t="n"/>
      <c r="C41" s="14" t="n"/>
      <c r="D41" s="14" t="n"/>
      <c r="E41" s="14" t="n"/>
      <c r="F41" s="48" t="n"/>
      <c r="G41" s="50">
        <f>IF(A41="","",Settings!$B$4)</f>
        <v/>
      </c>
      <c r="H41" s="48">
        <f>IF(F41="","",IF(J41="Yes",ROUND(F41*G41,2),0))</f>
        <v/>
      </c>
      <c r="I41" s="48">
        <f>IF(F41="","",F41+ROUND(F41*G41,2))</f>
        <v/>
      </c>
      <c r="J41" s="14" t="n"/>
      <c r="K41" s="51">
        <f>IF(A41="","",DATE(YEAR(A41),MONTH(A41),1))</f>
        <v/>
      </c>
      <c r="L41" s="14" t="n"/>
      <c r="M41" s="52" t="n"/>
      <c r="N41" s="14" t="n"/>
    </row>
    <row r="42">
      <c r="A42" s="49" t="n"/>
      <c r="B42" s="14" t="n"/>
      <c r="C42" s="14" t="n"/>
      <c r="D42" s="14" t="n"/>
      <c r="E42" s="14" t="n"/>
      <c r="F42" s="48" t="n"/>
      <c r="G42" s="50">
        <f>IF(A42="","",Settings!$B$4)</f>
        <v/>
      </c>
      <c r="H42" s="48">
        <f>IF(F42="","",IF(J42="Yes",ROUND(F42*G42,2),0))</f>
        <v/>
      </c>
      <c r="I42" s="48">
        <f>IF(F42="","",F42+ROUND(F42*G42,2))</f>
        <v/>
      </c>
      <c r="J42" s="14" t="n"/>
      <c r="K42" s="51">
        <f>IF(A42="","",DATE(YEAR(A42),MONTH(A42),1))</f>
        <v/>
      </c>
      <c r="L42" s="14" t="n"/>
      <c r="M42" s="52" t="n"/>
      <c r="N42" s="14" t="n"/>
    </row>
    <row r="43">
      <c r="A43" s="49" t="n"/>
      <c r="B43" s="14" t="n"/>
      <c r="C43" s="14" t="n"/>
      <c r="D43" s="14" t="n"/>
      <c r="E43" s="14" t="n"/>
      <c r="F43" s="48" t="n"/>
      <c r="G43" s="50">
        <f>IF(A43="","",Settings!$B$4)</f>
        <v/>
      </c>
      <c r="H43" s="48">
        <f>IF(F43="","",IF(J43="Yes",ROUND(F43*G43,2),0))</f>
        <v/>
      </c>
      <c r="I43" s="48">
        <f>IF(F43="","",F43+ROUND(F43*G43,2))</f>
        <v/>
      </c>
      <c r="J43" s="14" t="n"/>
      <c r="K43" s="51">
        <f>IF(A43="","",DATE(YEAR(A43),MONTH(A43),1))</f>
        <v/>
      </c>
      <c r="L43" s="14" t="n"/>
      <c r="M43" s="52" t="n"/>
      <c r="N43" s="14" t="n"/>
    </row>
    <row r="44">
      <c r="A44" s="49" t="n"/>
      <c r="B44" s="14" t="n"/>
      <c r="C44" s="14" t="n"/>
      <c r="D44" s="14" t="n"/>
      <c r="E44" s="14" t="n"/>
      <c r="F44" s="48" t="n"/>
      <c r="G44" s="50">
        <f>IF(A44="","",Settings!$B$4)</f>
        <v/>
      </c>
      <c r="H44" s="48">
        <f>IF(F44="","",IF(J44="Yes",ROUND(F44*G44,2),0))</f>
        <v/>
      </c>
      <c r="I44" s="48">
        <f>IF(F44="","",F44+ROUND(F44*G44,2))</f>
        <v/>
      </c>
      <c r="J44" s="14" t="n"/>
      <c r="K44" s="51">
        <f>IF(A44="","",DATE(YEAR(A44),MONTH(A44),1))</f>
        <v/>
      </c>
      <c r="L44" s="14" t="n"/>
      <c r="M44" s="52" t="n"/>
      <c r="N44" s="14" t="n"/>
    </row>
    <row r="45">
      <c r="A45" s="49" t="n"/>
      <c r="B45" s="14" t="n"/>
      <c r="C45" s="14" t="n"/>
      <c r="D45" s="14" t="n"/>
      <c r="E45" s="14" t="n"/>
      <c r="F45" s="48" t="n"/>
      <c r="G45" s="50">
        <f>IF(A45="","",Settings!$B$4)</f>
        <v/>
      </c>
      <c r="H45" s="48">
        <f>IF(F45="","",IF(J45="Yes",ROUND(F45*G45,2),0))</f>
        <v/>
      </c>
      <c r="I45" s="48">
        <f>IF(F45="","",F45+ROUND(F45*G45,2))</f>
        <v/>
      </c>
      <c r="J45" s="14" t="n"/>
      <c r="K45" s="51">
        <f>IF(A45="","",DATE(YEAR(A45),MONTH(A45),1))</f>
        <v/>
      </c>
      <c r="L45" s="14" t="n"/>
      <c r="M45" s="52" t="n"/>
      <c r="N45" s="14" t="n"/>
    </row>
    <row r="46">
      <c r="A46" s="49" t="n"/>
      <c r="B46" s="14" t="n"/>
      <c r="C46" s="14" t="n"/>
      <c r="D46" s="14" t="n"/>
      <c r="E46" s="14" t="n"/>
      <c r="F46" s="48" t="n"/>
      <c r="G46" s="50">
        <f>IF(A46="","",Settings!$B$4)</f>
        <v/>
      </c>
      <c r="H46" s="48">
        <f>IF(F46="","",IF(J46="Yes",ROUND(F46*G46,2),0))</f>
        <v/>
      </c>
      <c r="I46" s="48">
        <f>IF(F46="","",F46+ROUND(F46*G46,2))</f>
        <v/>
      </c>
      <c r="J46" s="14" t="n"/>
      <c r="K46" s="51">
        <f>IF(A46="","",DATE(YEAR(A46),MONTH(A46),1))</f>
        <v/>
      </c>
      <c r="L46" s="14" t="n"/>
      <c r="M46" s="52" t="n"/>
      <c r="N46" s="14" t="n"/>
    </row>
    <row r="47">
      <c r="A47" s="49" t="n"/>
      <c r="B47" s="14" t="n"/>
      <c r="C47" s="14" t="n"/>
      <c r="D47" s="14" t="n"/>
      <c r="E47" s="14" t="n"/>
      <c r="F47" s="48" t="n"/>
      <c r="G47" s="50">
        <f>IF(A47="","",Settings!$B$4)</f>
        <v/>
      </c>
      <c r="H47" s="48">
        <f>IF(F47="","",IF(J47="Yes",ROUND(F47*G47,2),0))</f>
        <v/>
      </c>
      <c r="I47" s="48">
        <f>IF(F47="","",F47+ROUND(F47*G47,2))</f>
        <v/>
      </c>
      <c r="J47" s="14" t="n"/>
      <c r="K47" s="51">
        <f>IF(A47="","",DATE(YEAR(A47),MONTH(A47),1))</f>
        <v/>
      </c>
      <c r="L47" s="14" t="n"/>
      <c r="M47" s="52" t="n"/>
      <c r="N47" s="14" t="n"/>
    </row>
    <row r="48">
      <c r="A48" s="49" t="n"/>
      <c r="B48" s="14" t="n"/>
      <c r="C48" s="14" t="n"/>
      <c r="D48" s="14" t="n"/>
      <c r="E48" s="14" t="n"/>
      <c r="F48" s="48" t="n"/>
      <c r="G48" s="50">
        <f>IF(A48="","",Settings!$B$4)</f>
        <v/>
      </c>
      <c r="H48" s="48">
        <f>IF(F48="","",IF(J48="Yes",ROUND(F48*G48,2),0))</f>
        <v/>
      </c>
      <c r="I48" s="48">
        <f>IF(F48="","",F48+ROUND(F48*G48,2))</f>
        <v/>
      </c>
      <c r="J48" s="14" t="n"/>
      <c r="K48" s="51">
        <f>IF(A48="","",DATE(YEAR(A48),MONTH(A48),1))</f>
        <v/>
      </c>
      <c r="L48" s="14" t="n"/>
      <c r="M48" s="52" t="n"/>
      <c r="N48" s="14" t="n"/>
    </row>
    <row r="49">
      <c r="A49" s="49" t="n"/>
      <c r="B49" s="14" t="n"/>
      <c r="C49" s="14" t="n"/>
      <c r="D49" s="14" t="n"/>
      <c r="E49" s="14" t="n"/>
      <c r="F49" s="48" t="n"/>
      <c r="G49" s="50">
        <f>IF(A49="","",Settings!$B$4)</f>
        <v/>
      </c>
      <c r="H49" s="48">
        <f>IF(F49="","",IF(J49="Yes",ROUND(F49*G49,2),0))</f>
        <v/>
      </c>
      <c r="I49" s="48">
        <f>IF(F49="","",F49+ROUND(F49*G49,2))</f>
        <v/>
      </c>
      <c r="J49" s="14" t="n"/>
      <c r="K49" s="51">
        <f>IF(A49="","",DATE(YEAR(A49),MONTH(A49),1))</f>
        <v/>
      </c>
      <c r="L49" s="14" t="n"/>
      <c r="M49" s="52" t="n"/>
      <c r="N49" s="14" t="n"/>
    </row>
    <row r="50">
      <c r="A50" s="49" t="n"/>
      <c r="B50" s="14" t="n"/>
      <c r="C50" s="14" t="n"/>
      <c r="D50" s="14" t="n"/>
      <c r="E50" s="14" t="n"/>
      <c r="F50" s="48" t="n"/>
      <c r="G50" s="50">
        <f>IF(A50="","",Settings!$B$4)</f>
        <v/>
      </c>
      <c r="H50" s="48">
        <f>IF(F50="","",IF(J50="Yes",ROUND(F50*G50,2),0))</f>
        <v/>
      </c>
      <c r="I50" s="48">
        <f>IF(F50="","",F50+ROUND(F50*G50,2))</f>
        <v/>
      </c>
      <c r="J50" s="14" t="n"/>
      <c r="K50" s="51">
        <f>IF(A50="","",DATE(YEAR(A50),MONTH(A50),1))</f>
        <v/>
      </c>
      <c r="L50" s="14" t="n"/>
      <c r="M50" s="52" t="n"/>
      <c r="N50" s="14" t="n"/>
    </row>
    <row r="51">
      <c r="A51" s="49" t="n"/>
      <c r="B51" s="14" t="n"/>
      <c r="C51" s="14" t="n"/>
      <c r="D51" s="14" t="n"/>
      <c r="E51" s="14" t="n"/>
      <c r="F51" s="48" t="n"/>
      <c r="G51" s="50">
        <f>IF(A51="","",Settings!$B$4)</f>
        <v/>
      </c>
      <c r="H51" s="48">
        <f>IF(F51="","",IF(J51="Yes",ROUND(F51*G51,2),0))</f>
        <v/>
      </c>
      <c r="I51" s="48">
        <f>IF(F51="","",F51+ROUND(F51*G51,2))</f>
        <v/>
      </c>
      <c r="J51" s="14" t="n"/>
      <c r="K51" s="51">
        <f>IF(A51="","",DATE(YEAR(A51),MONTH(A51),1))</f>
        <v/>
      </c>
      <c r="L51" s="14" t="n"/>
      <c r="M51" s="52" t="n"/>
      <c r="N51" s="14" t="n"/>
    </row>
    <row r="52">
      <c r="A52" s="49" t="n"/>
      <c r="B52" s="14" t="n"/>
      <c r="C52" s="14" t="n"/>
      <c r="D52" s="14" t="n"/>
      <c r="E52" s="14" t="n"/>
      <c r="F52" s="48" t="n"/>
      <c r="G52" s="50">
        <f>IF(A52="","",Settings!$B$4)</f>
        <v/>
      </c>
      <c r="H52" s="48">
        <f>IF(F52="","",IF(J52="Yes",ROUND(F52*G52,2),0))</f>
        <v/>
      </c>
      <c r="I52" s="48">
        <f>IF(F52="","",F52+ROUND(F52*G52,2))</f>
        <v/>
      </c>
      <c r="J52" s="14" t="n"/>
      <c r="K52" s="51">
        <f>IF(A52="","",DATE(YEAR(A52),MONTH(A52),1))</f>
        <v/>
      </c>
      <c r="L52" s="14" t="n"/>
      <c r="M52" s="52" t="n"/>
      <c r="N52" s="14" t="n"/>
    </row>
    <row r="53">
      <c r="A53" s="49" t="n"/>
      <c r="B53" s="14" t="n"/>
      <c r="C53" s="14" t="n"/>
      <c r="D53" s="14" t="n"/>
      <c r="E53" s="14" t="n"/>
      <c r="F53" s="48" t="n"/>
      <c r="G53" s="50">
        <f>IF(A53="","",Settings!$B$4)</f>
        <v/>
      </c>
      <c r="H53" s="48">
        <f>IF(F53="","",IF(J53="Yes",ROUND(F53*G53,2),0))</f>
        <v/>
      </c>
      <c r="I53" s="48">
        <f>IF(F53="","",F53+ROUND(F53*G53,2))</f>
        <v/>
      </c>
      <c r="J53" s="14" t="n"/>
      <c r="K53" s="51">
        <f>IF(A53="","",DATE(YEAR(A53),MONTH(A53),1))</f>
        <v/>
      </c>
      <c r="L53" s="14" t="n"/>
      <c r="M53" s="52" t="n"/>
      <c r="N53" s="14" t="n"/>
    </row>
    <row r="54">
      <c r="A54" s="49" t="n"/>
      <c r="B54" s="14" t="n"/>
      <c r="C54" s="14" t="n"/>
      <c r="D54" s="14" t="n"/>
      <c r="E54" s="14" t="n"/>
      <c r="F54" s="48" t="n"/>
      <c r="G54" s="50">
        <f>IF(A54="","",Settings!$B$4)</f>
        <v/>
      </c>
      <c r="H54" s="48">
        <f>IF(F54="","",IF(J54="Yes",ROUND(F54*G54,2),0))</f>
        <v/>
      </c>
      <c r="I54" s="48">
        <f>IF(F54="","",F54+ROUND(F54*G54,2))</f>
        <v/>
      </c>
      <c r="J54" s="14" t="n"/>
      <c r="K54" s="51">
        <f>IF(A54="","",DATE(YEAR(A54),MONTH(A54),1))</f>
        <v/>
      </c>
      <c r="L54" s="14" t="n"/>
      <c r="M54" s="52" t="n"/>
      <c r="N54" s="14" t="n"/>
    </row>
    <row r="55">
      <c r="A55" s="49" t="n"/>
      <c r="B55" s="14" t="n"/>
      <c r="C55" s="14" t="n"/>
      <c r="D55" s="14" t="n"/>
      <c r="E55" s="14" t="n"/>
      <c r="F55" s="48" t="n"/>
      <c r="G55" s="50">
        <f>IF(A55="","",Settings!$B$4)</f>
        <v/>
      </c>
      <c r="H55" s="48">
        <f>IF(F55="","",IF(J55="Yes",ROUND(F55*G55,2),0))</f>
        <v/>
      </c>
      <c r="I55" s="48">
        <f>IF(F55="","",F55+ROUND(F55*G55,2))</f>
        <v/>
      </c>
      <c r="J55" s="14" t="n"/>
      <c r="K55" s="51">
        <f>IF(A55="","",DATE(YEAR(A55),MONTH(A55),1))</f>
        <v/>
      </c>
      <c r="L55" s="14" t="n"/>
      <c r="M55" s="52" t="n"/>
      <c r="N55" s="14" t="n"/>
    </row>
    <row r="56">
      <c r="A56" s="49" t="n"/>
      <c r="B56" s="14" t="n"/>
      <c r="C56" s="14" t="n"/>
      <c r="D56" s="14" t="n"/>
      <c r="E56" s="14" t="n"/>
      <c r="F56" s="48" t="n"/>
      <c r="G56" s="50">
        <f>IF(A56="","",Settings!$B$4)</f>
        <v/>
      </c>
      <c r="H56" s="48">
        <f>IF(F56="","",IF(J56="Yes",ROUND(F56*G56,2),0))</f>
        <v/>
      </c>
      <c r="I56" s="48">
        <f>IF(F56="","",F56+ROUND(F56*G56,2))</f>
        <v/>
      </c>
      <c r="J56" s="14" t="n"/>
      <c r="K56" s="51">
        <f>IF(A56="","",DATE(YEAR(A56),MONTH(A56),1))</f>
        <v/>
      </c>
      <c r="L56" s="14" t="n"/>
      <c r="M56" s="52" t="n"/>
      <c r="N56" s="14" t="n"/>
    </row>
    <row r="57">
      <c r="A57" s="49" t="n"/>
      <c r="B57" s="14" t="n"/>
      <c r="C57" s="14" t="n"/>
      <c r="D57" s="14" t="n"/>
      <c r="E57" s="14" t="n"/>
      <c r="F57" s="48" t="n"/>
      <c r="G57" s="50">
        <f>IF(A57="","",Settings!$B$4)</f>
        <v/>
      </c>
      <c r="H57" s="48">
        <f>IF(F57="","",IF(J57="Yes",ROUND(F57*G57,2),0))</f>
        <v/>
      </c>
      <c r="I57" s="48">
        <f>IF(F57="","",F57+ROUND(F57*G57,2))</f>
        <v/>
      </c>
      <c r="J57" s="14" t="n"/>
      <c r="K57" s="51">
        <f>IF(A57="","",DATE(YEAR(A57),MONTH(A57),1))</f>
        <v/>
      </c>
      <c r="L57" s="14" t="n"/>
      <c r="M57" s="52" t="n"/>
      <c r="N57" s="14" t="n"/>
    </row>
    <row r="58">
      <c r="A58" s="49" t="n"/>
      <c r="B58" s="14" t="n"/>
      <c r="C58" s="14" t="n"/>
      <c r="D58" s="14" t="n"/>
      <c r="E58" s="14" t="n"/>
      <c r="F58" s="48" t="n"/>
      <c r="G58" s="50">
        <f>IF(A58="","",Settings!$B$4)</f>
        <v/>
      </c>
      <c r="H58" s="48">
        <f>IF(F58="","",IF(J58="Yes",ROUND(F58*G58,2),0))</f>
        <v/>
      </c>
      <c r="I58" s="48">
        <f>IF(F58="","",F58+ROUND(F58*G58,2))</f>
        <v/>
      </c>
      <c r="J58" s="14" t="n"/>
      <c r="K58" s="51">
        <f>IF(A58="","",DATE(YEAR(A58),MONTH(A58),1))</f>
        <v/>
      </c>
      <c r="L58" s="14" t="n"/>
      <c r="M58" s="52" t="n"/>
      <c r="N58" s="14" t="n"/>
    </row>
    <row r="59">
      <c r="A59" s="49" t="n"/>
      <c r="B59" s="14" t="n"/>
      <c r="C59" s="14" t="n"/>
      <c r="D59" s="14" t="n"/>
      <c r="E59" s="14" t="n"/>
      <c r="F59" s="48" t="n"/>
      <c r="G59" s="50">
        <f>IF(A59="","",Settings!$B$4)</f>
        <v/>
      </c>
      <c r="H59" s="48">
        <f>IF(F59="","",IF(J59="Yes",ROUND(F59*G59,2),0))</f>
        <v/>
      </c>
      <c r="I59" s="48">
        <f>IF(F59="","",F59+ROUND(F59*G59,2))</f>
        <v/>
      </c>
      <c r="J59" s="14" t="n"/>
      <c r="K59" s="51">
        <f>IF(A59="","",DATE(YEAR(A59),MONTH(A59),1))</f>
        <v/>
      </c>
      <c r="L59" s="14" t="n"/>
      <c r="M59" s="52" t="n"/>
      <c r="N59" s="14" t="n"/>
    </row>
    <row r="60">
      <c r="A60" s="49" t="n"/>
      <c r="B60" s="14" t="n"/>
      <c r="C60" s="14" t="n"/>
      <c r="D60" s="14" t="n"/>
      <c r="E60" s="14" t="n"/>
      <c r="F60" s="48" t="n"/>
      <c r="G60" s="50">
        <f>IF(A60="","",Settings!$B$4)</f>
        <v/>
      </c>
      <c r="H60" s="48">
        <f>IF(F60="","",IF(J60="Yes",ROUND(F60*G60,2),0))</f>
        <v/>
      </c>
      <c r="I60" s="48">
        <f>IF(F60="","",F60+ROUND(F60*G60,2))</f>
        <v/>
      </c>
      <c r="J60" s="14" t="n"/>
      <c r="K60" s="51">
        <f>IF(A60="","",DATE(YEAR(A60),MONTH(A60),1))</f>
        <v/>
      </c>
      <c r="L60" s="14" t="n"/>
      <c r="M60" s="52" t="n"/>
      <c r="N60" s="14" t="n"/>
    </row>
    <row r="61">
      <c r="A61" s="49" t="n"/>
      <c r="B61" s="14" t="n"/>
      <c r="C61" s="14" t="n"/>
      <c r="D61" s="14" t="n"/>
      <c r="E61" s="14" t="n"/>
      <c r="F61" s="48" t="n"/>
      <c r="G61" s="50">
        <f>IF(A61="","",Settings!$B$4)</f>
        <v/>
      </c>
      <c r="H61" s="48">
        <f>IF(F61="","",IF(J61="Yes",ROUND(F61*G61,2),0))</f>
        <v/>
      </c>
      <c r="I61" s="48">
        <f>IF(F61="","",F61+ROUND(F61*G61,2))</f>
        <v/>
      </c>
      <c r="J61" s="14" t="n"/>
      <c r="K61" s="51">
        <f>IF(A61="","",DATE(YEAR(A61),MONTH(A61),1))</f>
        <v/>
      </c>
      <c r="L61" s="14" t="n"/>
      <c r="M61" s="52" t="n"/>
      <c r="N61" s="14" t="n"/>
    </row>
    <row r="62">
      <c r="A62" s="49" t="n"/>
      <c r="B62" s="14" t="n"/>
      <c r="C62" s="14" t="n"/>
      <c r="D62" s="14" t="n"/>
      <c r="E62" s="14" t="n"/>
      <c r="F62" s="48" t="n"/>
      <c r="G62" s="50">
        <f>IF(A62="","",Settings!$B$4)</f>
        <v/>
      </c>
      <c r="H62" s="48">
        <f>IF(F62="","",IF(J62="Yes",ROUND(F62*G62,2),0))</f>
        <v/>
      </c>
      <c r="I62" s="48">
        <f>IF(F62="","",F62+ROUND(F62*G62,2))</f>
        <v/>
      </c>
      <c r="J62" s="14" t="n"/>
      <c r="K62" s="51">
        <f>IF(A62="","",DATE(YEAR(A62),MONTH(A62),1))</f>
        <v/>
      </c>
      <c r="L62" s="14" t="n"/>
      <c r="M62" s="52" t="n"/>
      <c r="N62" s="14" t="n"/>
    </row>
    <row r="63">
      <c r="A63" s="49" t="n"/>
      <c r="B63" s="14" t="n"/>
      <c r="C63" s="14" t="n"/>
      <c r="D63" s="14" t="n"/>
      <c r="E63" s="14" t="n"/>
      <c r="F63" s="48" t="n"/>
      <c r="G63" s="50">
        <f>IF(A63="","",Settings!$B$4)</f>
        <v/>
      </c>
      <c r="H63" s="48">
        <f>IF(F63="","",IF(J63="Yes",ROUND(F63*G63,2),0))</f>
        <v/>
      </c>
      <c r="I63" s="48">
        <f>IF(F63="","",F63+ROUND(F63*G63,2))</f>
        <v/>
      </c>
      <c r="J63" s="14" t="n"/>
      <c r="K63" s="51">
        <f>IF(A63="","",DATE(YEAR(A63),MONTH(A63),1))</f>
        <v/>
      </c>
      <c r="L63" s="14" t="n"/>
      <c r="M63" s="52" t="n"/>
      <c r="N63" s="14" t="n"/>
    </row>
    <row r="64">
      <c r="A64" s="49" t="n"/>
      <c r="B64" s="14" t="n"/>
      <c r="C64" s="14" t="n"/>
      <c r="D64" s="14" t="n"/>
      <c r="E64" s="14" t="n"/>
      <c r="F64" s="48" t="n"/>
      <c r="G64" s="50">
        <f>IF(A64="","",Settings!$B$4)</f>
        <v/>
      </c>
      <c r="H64" s="48">
        <f>IF(F64="","",IF(J64="Yes",ROUND(F64*G64,2),0))</f>
        <v/>
      </c>
      <c r="I64" s="48">
        <f>IF(F64="","",F64+ROUND(F64*G64,2))</f>
        <v/>
      </c>
      <c r="J64" s="14" t="n"/>
      <c r="K64" s="51">
        <f>IF(A64="","",DATE(YEAR(A64),MONTH(A64),1))</f>
        <v/>
      </c>
      <c r="L64" s="14" t="n"/>
      <c r="M64" s="52" t="n"/>
      <c r="N64" s="14" t="n"/>
    </row>
    <row r="65">
      <c r="A65" s="49" t="n"/>
      <c r="B65" s="14" t="n"/>
      <c r="C65" s="14" t="n"/>
      <c r="D65" s="14" t="n"/>
      <c r="E65" s="14" t="n"/>
      <c r="F65" s="48" t="n"/>
      <c r="G65" s="50">
        <f>IF(A65="","",Settings!$B$4)</f>
        <v/>
      </c>
      <c r="H65" s="48">
        <f>IF(F65="","",IF(J65="Yes",ROUND(F65*G65,2),0))</f>
        <v/>
      </c>
      <c r="I65" s="48">
        <f>IF(F65="","",F65+ROUND(F65*G65,2))</f>
        <v/>
      </c>
      <c r="J65" s="14" t="n"/>
      <c r="K65" s="51">
        <f>IF(A65="","",DATE(YEAR(A65),MONTH(A65),1))</f>
        <v/>
      </c>
      <c r="L65" s="14" t="n"/>
      <c r="M65" s="52" t="n"/>
      <c r="N65" s="14" t="n"/>
    </row>
    <row r="66">
      <c r="A66" s="49" t="n"/>
      <c r="B66" s="14" t="n"/>
      <c r="C66" s="14" t="n"/>
      <c r="D66" s="14" t="n"/>
      <c r="E66" s="14" t="n"/>
      <c r="F66" s="48" t="n"/>
      <c r="G66" s="50">
        <f>IF(A66="","",Settings!$B$4)</f>
        <v/>
      </c>
      <c r="H66" s="48">
        <f>IF(F66="","",IF(J66="Yes",ROUND(F66*G66,2),0))</f>
        <v/>
      </c>
      <c r="I66" s="48">
        <f>IF(F66="","",F66+ROUND(F66*G66,2))</f>
        <v/>
      </c>
      <c r="J66" s="14" t="n"/>
      <c r="K66" s="51">
        <f>IF(A66="","",DATE(YEAR(A66),MONTH(A66),1))</f>
        <v/>
      </c>
      <c r="L66" s="14" t="n"/>
      <c r="M66" s="52" t="n"/>
      <c r="N66" s="14" t="n"/>
    </row>
    <row r="67">
      <c r="A67" s="49" t="n"/>
      <c r="B67" s="14" t="n"/>
      <c r="C67" s="14" t="n"/>
      <c r="D67" s="14" t="n"/>
      <c r="E67" s="14" t="n"/>
      <c r="F67" s="48" t="n"/>
      <c r="G67" s="50">
        <f>IF(A67="","",Settings!$B$4)</f>
        <v/>
      </c>
      <c r="H67" s="48">
        <f>IF(F67="","",IF(J67="Yes",ROUND(F67*G67,2),0))</f>
        <v/>
      </c>
      <c r="I67" s="48">
        <f>IF(F67="","",F67+ROUND(F67*G67,2))</f>
        <v/>
      </c>
      <c r="J67" s="14" t="n"/>
      <c r="K67" s="51">
        <f>IF(A67="","",DATE(YEAR(A67),MONTH(A67),1))</f>
        <v/>
      </c>
      <c r="L67" s="14" t="n"/>
      <c r="M67" s="52" t="n"/>
      <c r="N67" s="14" t="n"/>
    </row>
    <row r="68">
      <c r="A68" s="49" t="n"/>
      <c r="B68" s="14" t="n"/>
      <c r="C68" s="14" t="n"/>
      <c r="D68" s="14" t="n"/>
      <c r="E68" s="14" t="n"/>
      <c r="F68" s="48" t="n"/>
      <c r="G68" s="50">
        <f>IF(A68="","",Settings!$B$4)</f>
        <v/>
      </c>
      <c r="H68" s="48">
        <f>IF(F68="","",IF(J68="Yes",ROUND(F68*G68,2),0))</f>
        <v/>
      </c>
      <c r="I68" s="48">
        <f>IF(F68="","",F68+ROUND(F68*G68,2))</f>
        <v/>
      </c>
      <c r="J68" s="14" t="n"/>
      <c r="K68" s="51">
        <f>IF(A68="","",DATE(YEAR(A68),MONTH(A68),1))</f>
        <v/>
      </c>
      <c r="L68" s="14" t="n"/>
      <c r="M68" s="52" t="n"/>
      <c r="N68" s="14" t="n"/>
    </row>
    <row r="69">
      <c r="A69" s="49" t="n"/>
      <c r="B69" s="14" t="n"/>
      <c r="C69" s="14" t="n"/>
      <c r="D69" s="14" t="n"/>
      <c r="E69" s="14" t="n"/>
      <c r="F69" s="48" t="n"/>
      <c r="G69" s="50">
        <f>IF(A69="","",Settings!$B$4)</f>
        <v/>
      </c>
      <c r="H69" s="48">
        <f>IF(F69="","",IF(J69="Yes",ROUND(F69*G69,2),0))</f>
        <v/>
      </c>
      <c r="I69" s="48">
        <f>IF(F69="","",F69+ROUND(F69*G69,2))</f>
        <v/>
      </c>
      <c r="J69" s="14" t="n"/>
      <c r="K69" s="51">
        <f>IF(A69="","",DATE(YEAR(A69),MONTH(A69),1))</f>
        <v/>
      </c>
      <c r="L69" s="14" t="n"/>
      <c r="M69" s="52" t="n"/>
      <c r="N69" s="14" t="n"/>
    </row>
    <row r="70">
      <c r="A70" s="49" t="n"/>
      <c r="B70" s="14" t="n"/>
      <c r="C70" s="14" t="n"/>
      <c r="D70" s="14" t="n"/>
      <c r="E70" s="14" t="n"/>
      <c r="F70" s="48" t="n"/>
      <c r="G70" s="50">
        <f>IF(A70="","",Settings!$B$4)</f>
        <v/>
      </c>
      <c r="H70" s="48">
        <f>IF(F70="","",IF(J70="Yes",ROUND(F70*G70,2),0))</f>
        <v/>
      </c>
      <c r="I70" s="48">
        <f>IF(F70="","",F70+ROUND(F70*G70,2))</f>
        <v/>
      </c>
      <c r="J70" s="14" t="n"/>
      <c r="K70" s="51">
        <f>IF(A70="","",DATE(YEAR(A70),MONTH(A70),1))</f>
        <v/>
      </c>
      <c r="L70" s="14" t="n"/>
      <c r="M70" s="52" t="n"/>
      <c r="N70" s="14" t="n"/>
    </row>
    <row r="71">
      <c r="A71" s="49" t="n"/>
      <c r="B71" s="14" t="n"/>
      <c r="C71" s="14" t="n"/>
      <c r="D71" s="14" t="n"/>
      <c r="E71" s="14" t="n"/>
      <c r="F71" s="48" t="n"/>
      <c r="G71" s="50">
        <f>IF(A71="","",Settings!$B$4)</f>
        <v/>
      </c>
      <c r="H71" s="48">
        <f>IF(F71="","",IF(J71="Yes",ROUND(F71*G71,2),0))</f>
        <v/>
      </c>
      <c r="I71" s="48">
        <f>IF(F71="","",F71+ROUND(F71*G71,2))</f>
        <v/>
      </c>
      <c r="J71" s="14" t="n"/>
      <c r="K71" s="51">
        <f>IF(A71="","",DATE(YEAR(A71),MONTH(A71),1))</f>
        <v/>
      </c>
      <c r="L71" s="14" t="n"/>
      <c r="M71" s="52" t="n"/>
      <c r="N71" s="14" t="n"/>
    </row>
    <row r="72">
      <c r="A72" s="49" t="n"/>
      <c r="B72" s="14" t="n"/>
      <c r="C72" s="14" t="n"/>
      <c r="D72" s="14" t="n"/>
      <c r="E72" s="14" t="n"/>
      <c r="F72" s="48" t="n"/>
      <c r="G72" s="50">
        <f>IF(A72="","",Settings!$B$4)</f>
        <v/>
      </c>
      <c r="H72" s="48">
        <f>IF(F72="","",IF(J72="Yes",ROUND(F72*G72,2),0))</f>
        <v/>
      </c>
      <c r="I72" s="48">
        <f>IF(F72="","",F72+ROUND(F72*G72,2))</f>
        <v/>
      </c>
      <c r="J72" s="14" t="n"/>
      <c r="K72" s="51">
        <f>IF(A72="","",DATE(YEAR(A72),MONTH(A72),1))</f>
        <v/>
      </c>
      <c r="L72" s="14" t="n"/>
      <c r="M72" s="52" t="n"/>
      <c r="N72" s="14" t="n"/>
    </row>
    <row r="73">
      <c r="A73" s="49" t="n"/>
      <c r="B73" s="14" t="n"/>
      <c r="C73" s="14" t="n"/>
      <c r="D73" s="14" t="n"/>
      <c r="E73" s="14" t="n"/>
      <c r="F73" s="48" t="n"/>
      <c r="G73" s="50">
        <f>IF(A73="","",Settings!$B$4)</f>
        <v/>
      </c>
      <c r="H73" s="48">
        <f>IF(F73="","",IF(J73="Yes",ROUND(F73*G73,2),0))</f>
        <v/>
      </c>
      <c r="I73" s="48">
        <f>IF(F73="","",F73+ROUND(F73*G73,2))</f>
        <v/>
      </c>
      <c r="J73" s="14" t="n"/>
      <c r="K73" s="51">
        <f>IF(A73="","",DATE(YEAR(A73),MONTH(A73),1))</f>
        <v/>
      </c>
      <c r="L73" s="14" t="n"/>
      <c r="M73" s="52" t="n"/>
      <c r="N73" s="14" t="n"/>
    </row>
    <row r="74">
      <c r="A74" s="49" t="n"/>
      <c r="B74" s="14" t="n"/>
      <c r="C74" s="14" t="n"/>
      <c r="D74" s="14" t="n"/>
      <c r="E74" s="14" t="n"/>
      <c r="F74" s="48" t="n"/>
      <c r="G74" s="50">
        <f>IF(A74="","",Settings!$B$4)</f>
        <v/>
      </c>
      <c r="H74" s="48">
        <f>IF(F74="","",IF(J74="Yes",ROUND(F74*G74,2),0))</f>
        <v/>
      </c>
      <c r="I74" s="48">
        <f>IF(F74="","",F74+ROUND(F74*G74,2))</f>
        <v/>
      </c>
      <c r="J74" s="14" t="n"/>
      <c r="K74" s="51">
        <f>IF(A74="","",DATE(YEAR(A74),MONTH(A74),1))</f>
        <v/>
      </c>
      <c r="L74" s="14" t="n"/>
      <c r="M74" s="52" t="n"/>
      <c r="N74" s="14" t="n"/>
    </row>
    <row r="75">
      <c r="A75" s="49" t="n"/>
      <c r="B75" s="14" t="n"/>
      <c r="C75" s="14" t="n"/>
      <c r="D75" s="14" t="n"/>
      <c r="E75" s="14" t="n"/>
      <c r="F75" s="48" t="n"/>
      <c r="G75" s="50">
        <f>IF(A75="","",Settings!$B$4)</f>
        <v/>
      </c>
      <c r="H75" s="48">
        <f>IF(F75="","",IF(J75="Yes",ROUND(F75*G75,2),0))</f>
        <v/>
      </c>
      <c r="I75" s="48">
        <f>IF(F75="","",F75+ROUND(F75*G75,2))</f>
        <v/>
      </c>
      <c r="J75" s="14" t="n"/>
      <c r="K75" s="51">
        <f>IF(A75="","",DATE(YEAR(A75),MONTH(A75),1))</f>
        <v/>
      </c>
      <c r="L75" s="14" t="n"/>
      <c r="M75" s="52" t="n"/>
      <c r="N75" s="14" t="n"/>
    </row>
    <row r="76">
      <c r="A76" s="49" t="n"/>
      <c r="B76" s="14" t="n"/>
      <c r="C76" s="14" t="n"/>
      <c r="D76" s="14" t="n"/>
      <c r="E76" s="14" t="n"/>
      <c r="F76" s="48" t="n"/>
      <c r="G76" s="50">
        <f>IF(A76="","",Settings!$B$4)</f>
        <v/>
      </c>
      <c r="H76" s="48">
        <f>IF(F76="","",IF(J76="Yes",ROUND(F76*G76,2),0))</f>
        <v/>
      </c>
      <c r="I76" s="48">
        <f>IF(F76="","",F76+ROUND(F76*G76,2))</f>
        <v/>
      </c>
      <c r="J76" s="14" t="n"/>
      <c r="K76" s="51">
        <f>IF(A76="","",DATE(YEAR(A76),MONTH(A76),1))</f>
        <v/>
      </c>
      <c r="L76" s="14" t="n"/>
      <c r="M76" s="52" t="n"/>
      <c r="N76" s="14" t="n"/>
    </row>
    <row r="77">
      <c r="A77" s="49" t="n"/>
      <c r="B77" s="14" t="n"/>
      <c r="C77" s="14" t="n"/>
      <c r="D77" s="14" t="n"/>
      <c r="E77" s="14" t="n"/>
      <c r="F77" s="48" t="n"/>
      <c r="G77" s="50">
        <f>IF(A77="","",Settings!$B$4)</f>
        <v/>
      </c>
      <c r="H77" s="48">
        <f>IF(F77="","",IF(J77="Yes",ROUND(F77*G77,2),0))</f>
        <v/>
      </c>
      <c r="I77" s="48">
        <f>IF(F77="","",F77+ROUND(F77*G77,2))</f>
        <v/>
      </c>
      <c r="J77" s="14" t="n"/>
      <c r="K77" s="51">
        <f>IF(A77="","",DATE(YEAR(A77),MONTH(A77),1))</f>
        <v/>
      </c>
      <c r="L77" s="14" t="n"/>
      <c r="M77" s="52" t="n"/>
      <c r="N77" s="14" t="n"/>
    </row>
    <row r="78">
      <c r="A78" s="49" t="n"/>
      <c r="B78" s="14" t="n"/>
      <c r="C78" s="14" t="n"/>
      <c r="D78" s="14" t="n"/>
      <c r="E78" s="14" t="n"/>
      <c r="F78" s="48" t="n"/>
      <c r="G78" s="50">
        <f>IF(A78="","",Settings!$B$4)</f>
        <v/>
      </c>
      <c r="H78" s="48">
        <f>IF(F78="","",IF(J78="Yes",ROUND(F78*G78,2),0))</f>
        <v/>
      </c>
      <c r="I78" s="48">
        <f>IF(F78="","",F78+ROUND(F78*G78,2))</f>
        <v/>
      </c>
      <c r="J78" s="14" t="n"/>
      <c r="K78" s="51">
        <f>IF(A78="","",DATE(YEAR(A78),MONTH(A78),1))</f>
        <v/>
      </c>
      <c r="L78" s="14" t="n"/>
      <c r="M78" s="52" t="n"/>
      <c r="N78" s="14" t="n"/>
    </row>
    <row r="79">
      <c r="A79" s="49" t="n"/>
      <c r="B79" s="14" t="n"/>
      <c r="C79" s="14" t="n"/>
      <c r="D79" s="14" t="n"/>
      <c r="E79" s="14" t="n"/>
      <c r="F79" s="48" t="n"/>
      <c r="G79" s="50">
        <f>IF(A79="","",Settings!$B$4)</f>
        <v/>
      </c>
      <c r="H79" s="48">
        <f>IF(F79="","",IF(J79="Yes",ROUND(F79*G79,2),0))</f>
        <v/>
      </c>
      <c r="I79" s="48">
        <f>IF(F79="","",F79+ROUND(F79*G79,2))</f>
        <v/>
      </c>
      <c r="J79" s="14" t="n"/>
      <c r="K79" s="51">
        <f>IF(A79="","",DATE(YEAR(A79),MONTH(A79),1))</f>
        <v/>
      </c>
      <c r="L79" s="14" t="n"/>
      <c r="M79" s="52" t="n"/>
      <c r="N79" s="14" t="n"/>
    </row>
    <row r="80">
      <c r="A80" s="49" t="n"/>
      <c r="B80" s="14" t="n"/>
      <c r="C80" s="14" t="n"/>
      <c r="D80" s="14" t="n"/>
      <c r="E80" s="14" t="n"/>
      <c r="F80" s="48" t="n"/>
      <c r="G80" s="50">
        <f>IF(A80="","",Settings!$B$4)</f>
        <v/>
      </c>
      <c r="H80" s="48">
        <f>IF(F80="","",IF(J80="Yes",ROUND(F80*G80,2),0))</f>
        <v/>
      </c>
      <c r="I80" s="48">
        <f>IF(F80="","",F80+ROUND(F80*G80,2))</f>
        <v/>
      </c>
      <c r="J80" s="14" t="n"/>
      <c r="K80" s="51">
        <f>IF(A80="","",DATE(YEAR(A80),MONTH(A80),1))</f>
        <v/>
      </c>
      <c r="L80" s="14" t="n"/>
      <c r="M80" s="52" t="n"/>
      <c r="N80" s="14" t="n"/>
    </row>
    <row r="81">
      <c r="A81" s="49" t="n"/>
      <c r="B81" s="14" t="n"/>
      <c r="C81" s="14" t="n"/>
      <c r="D81" s="14" t="n"/>
      <c r="E81" s="14" t="n"/>
      <c r="F81" s="48" t="n"/>
      <c r="G81" s="50">
        <f>IF(A81="","",Settings!$B$4)</f>
        <v/>
      </c>
      <c r="H81" s="48">
        <f>IF(F81="","",IF(J81="Yes",ROUND(F81*G81,2),0))</f>
        <v/>
      </c>
      <c r="I81" s="48">
        <f>IF(F81="","",F81+ROUND(F81*G81,2))</f>
        <v/>
      </c>
      <c r="J81" s="14" t="n"/>
      <c r="K81" s="51">
        <f>IF(A81="","",DATE(YEAR(A81),MONTH(A81),1))</f>
        <v/>
      </c>
      <c r="L81" s="14" t="n"/>
      <c r="M81" s="52" t="n"/>
      <c r="N81" s="14" t="n"/>
    </row>
    <row r="82">
      <c r="A82" s="49" t="n"/>
      <c r="B82" s="14" t="n"/>
      <c r="C82" s="14" t="n"/>
      <c r="D82" s="14" t="n"/>
      <c r="E82" s="14" t="n"/>
      <c r="F82" s="48" t="n"/>
      <c r="G82" s="50">
        <f>IF(A82="","",Settings!$B$4)</f>
        <v/>
      </c>
      <c r="H82" s="48">
        <f>IF(F82="","",IF(J82="Yes",ROUND(F82*G82,2),0))</f>
        <v/>
      </c>
      <c r="I82" s="48">
        <f>IF(F82="","",F82+ROUND(F82*G82,2))</f>
        <v/>
      </c>
      <c r="J82" s="14" t="n"/>
      <c r="K82" s="51">
        <f>IF(A82="","",DATE(YEAR(A82),MONTH(A82),1))</f>
        <v/>
      </c>
      <c r="L82" s="14" t="n"/>
      <c r="M82" s="52" t="n"/>
      <c r="N82" s="14" t="n"/>
    </row>
    <row r="83">
      <c r="A83" s="49" t="n"/>
      <c r="B83" s="14" t="n"/>
      <c r="C83" s="14" t="n"/>
      <c r="D83" s="14" t="n"/>
      <c r="E83" s="14" t="n"/>
      <c r="F83" s="48" t="n"/>
      <c r="G83" s="50">
        <f>IF(A83="","",Settings!$B$4)</f>
        <v/>
      </c>
      <c r="H83" s="48">
        <f>IF(F83="","",IF(J83="Yes",ROUND(F83*G83,2),0))</f>
        <v/>
      </c>
      <c r="I83" s="48">
        <f>IF(F83="","",F83+ROUND(F83*G83,2))</f>
        <v/>
      </c>
      <c r="J83" s="14" t="n"/>
      <c r="K83" s="51">
        <f>IF(A83="","",DATE(YEAR(A83),MONTH(A83),1))</f>
        <v/>
      </c>
      <c r="L83" s="14" t="n"/>
      <c r="M83" s="52" t="n"/>
      <c r="N83" s="14" t="n"/>
    </row>
    <row r="84">
      <c r="A84" s="49" t="n"/>
      <c r="B84" s="14" t="n"/>
      <c r="C84" s="14" t="n"/>
      <c r="D84" s="14" t="n"/>
      <c r="E84" s="14" t="n"/>
      <c r="F84" s="48" t="n"/>
      <c r="G84" s="50">
        <f>IF(A84="","",Settings!$B$4)</f>
        <v/>
      </c>
      <c r="H84" s="48">
        <f>IF(F84="","",IF(J84="Yes",ROUND(F84*G84,2),0))</f>
        <v/>
      </c>
      <c r="I84" s="48">
        <f>IF(F84="","",F84+ROUND(F84*G84,2))</f>
        <v/>
      </c>
      <c r="J84" s="14" t="n"/>
      <c r="K84" s="51">
        <f>IF(A84="","",DATE(YEAR(A84),MONTH(A84),1))</f>
        <v/>
      </c>
      <c r="L84" s="14" t="n"/>
      <c r="M84" s="52" t="n"/>
      <c r="N84" s="14" t="n"/>
    </row>
    <row r="85">
      <c r="A85" s="49" t="n"/>
      <c r="B85" s="14" t="n"/>
      <c r="C85" s="14" t="n"/>
      <c r="D85" s="14" t="n"/>
      <c r="E85" s="14" t="n"/>
      <c r="F85" s="48" t="n"/>
      <c r="G85" s="50">
        <f>IF(A85="","",Settings!$B$4)</f>
        <v/>
      </c>
      <c r="H85" s="48">
        <f>IF(F85="","",IF(J85="Yes",ROUND(F85*G85,2),0))</f>
        <v/>
      </c>
      <c r="I85" s="48">
        <f>IF(F85="","",F85+ROUND(F85*G85,2))</f>
        <v/>
      </c>
      <c r="J85" s="14" t="n"/>
      <c r="K85" s="51">
        <f>IF(A85="","",DATE(YEAR(A85),MONTH(A85),1))</f>
        <v/>
      </c>
      <c r="L85" s="14" t="n"/>
      <c r="M85" s="52" t="n"/>
      <c r="N85" s="14" t="n"/>
    </row>
    <row r="86">
      <c r="A86" s="49" t="n"/>
      <c r="B86" s="14" t="n"/>
      <c r="C86" s="14" t="n"/>
      <c r="D86" s="14" t="n"/>
      <c r="E86" s="14" t="n"/>
      <c r="F86" s="48" t="n"/>
      <c r="G86" s="50">
        <f>IF(A86="","",Settings!$B$4)</f>
        <v/>
      </c>
      <c r="H86" s="48">
        <f>IF(F86="","",IF(J86="Yes",ROUND(F86*G86,2),0))</f>
        <v/>
      </c>
      <c r="I86" s="48">
        <f>IF(F86="","",F86+ROUND(F86*G86,2))</f>
        <v/>
      </c>
      <c r="J86" s="14" t="n"/>
      <c r="K86" s="51">
        <f>IF(A86="","",DATE(YEAR(A86),MONTH(A86),1))</f>
        <v/>
      </c>
      <c r="L86" s="14" t="n"/>
      <c r="M86" s="52" t="n"/>
      <c r="N86" s="14" t="n"/>
    </row>
    <row r="87">
      <c r="A87" s="49" t="n"/>
      <c r="B87" s="14" t="n"/>
      <c r="C87" s="14" t="n"/>
      <c r="D87" s="14" t="n"/>
      <c r="E87" s="14" t="n"/>
      <c r="F87" s="48" t="n"/>
      <c r="G87" s="50">
        <f>IF(A87="","",Settings!$B$4)</f>
        <v/>
      </c>
      <c r="H87" s="48">
        <f>IF(F87="","",IF(J87="Yes",ROUND(F87*G87,2),0))</f>
        <v/>
      </c>
      <c r="I87" s="48">
        <f>IF(F87="","",F87+ROUND(F87*G87,2))</f>
        <v/>
      </c>
      <c r="J87" s="14" t="n"/>
      <c r="K87" s="51">
        <f>IF(A87="","",DATE(YEAR(A87),MONTH(A87),1))</f>
        <v/>
      </c>
      <c r="L87" s="14" t="n"/>
      <c r="M87" s="52" t="n"/>
      <c r="N87" s="14" t="n"/>
    </row>
    <row r="88">
      <c r="A88" s="49" t="n"/>
      <c r="B88" s="14" t="n"/>
      <c r="C88" s="14" t="n"/>
      <c r="D88" s="14" t="n"/>
      <c r="E88" s="14" t="n"/>
      <c r="F88" s="48" t="n"/>
      <c r="G88" s="50">
        <f>IF(A88="","",Settings!$B$4)</f>
        <v/>
      </c>
      <c r="H88" s="48">
        <f>IF(F88="","",IF(J88="Yes",ROUND(F88*G88,2),0))</f>
        <v/>
      </c>
      <c r="I88" s="48">
        <f>IF(F88="","",F88+ROUND(F88*G88,2))</f>
        <v/>
      </c>
      <c r="J88" s="14" t="n"/>
      <c r="K88" s="51">
        <f>IF(A88="","",DATE(YEAR(A88),MONTH(A88),1))</f>
        <v/>
      </c>
      <c r="L88" s="14" t="n"/>
      <c r="M88" s="52" t="n"/>
      <c r="N88" s="14" t="n"/>
    </row>
    <row r="89">
      <c r="A89" s="49" t="n"/>
      <c r="B89" s="14" t="n"/>
      <c r="C89" s="14" t="n"/>
      <c r="D89" s="14" t="n"/>
      <c r="E89" s="14" t="n"/>
      <c r="F89" s="48" t="n"/>
      <c r="G89" s="50">
        <f>IF(A89="","",Settings!$B$4)</f>
        <v/>
      </c>
      <c r="H89" s="48">
        <f>IF(F89="","",IF(J89="Yes",ROUND(F89*G89,2),0))</f>
        <v/>
      </c>
      <c r="I89" s="48">
        <f>IF(F89="","",F89+ROUND(F89*G89,2))</f>
        <v/>
      </c>
      <c r="J89" s="14" t="n"/>
      <c r="K89" s="51">
        <f>IF(A89="","",DATE(YEAR(A89),MONTH(A89),1))</f>
        <v/>
      </c>
      <c r="L89" s="14" t="n"/>
      <c r="M89" s="52" t="n"/>
      <c r="N89" s="14" t="n"/>
    </row>
    <row r="90">
      <c r="A90" s="49" t="n"/>
      <c r="B90" s="14" t="n"/>
      <c r="C90" s="14" t="n"/>
      <c r="D90" s="14" t="n"/>
      <c r="E90" s="14" t="n"/>
      <c r="F90" s="48" t="n"/>
      <c r="G90" s="50">
        <f>IF(A90="","",Settings!$B$4)</f>
        <v/>
      </c>
      <c r="H90" s="48">
        <f>IF(F90="","",IF(J90="Yes",ROUND(F90*G90,2),0))</f>
        <v/>
      </c>
      <c r="I90" s="48">
        <f>IF(F90="","",F90+ROUND(F90*G90,2))</f>
        <v/>
      </c>
      <c r="J90" s="14" t="n"/>
      <c r="K90" s="51">
        <f>IF(A90="","",DATE(YEAR(A90),MONTH(A90),1))</f>
        <v/>
      </c>
      <c r="L90" s="14" t="n"/>
      <c r="M90" s="52" t="n"/>
      <c r="N90" s="14" t="n"/>
    </row>
    <row r="91">
      <c r="A91" s="49" t="n"/>
      <c r="B91" s="14" t="n"/>
      <c r="C91" s="14" t="n"/>
      <c r="D91" s="14" t="n"/>
      <c r="E91" s="14" t="n"/>
      <c r="F91" s="48" t="n"/>
      <c r="G91" s="50">
        <f>IF(A91="","",Settings!$B$4)</f>
        <v/>
      </c>
      <c r="H91" s="48">
        <f>IF(F91="","",IF(J91="Yes",ROUND(F91*G91,2),0))</f>
        <v/>
      </c>
      <c r="I91" s="48">
        <f>IF(F91="","",F91+ROUND(F91*G91,2))</f>
        <v/>
      </c>
      <c r="J91" s="14" t="n"/>
      <c r="K91" s="51">
        <f>IF(A91="","",DATE(YEAR(A91),MONTH(A91),1))</f>
        <v/>
      </c>
      <c r="L91" s="14" t="n"/>
      <c r="M91" s="52" t="n"/>
      <c r="N91" s="14" t="n"/>
    </row>
    <row r="92">
      <c r="A92" s="49" t="n"/>
      <c r="B92" s="14" t="n"/>
      <c r="C92" s="14" t="n"/>
      <c r="D92" s="14" t="n"/>
      <c r="E92" s="14" t="n"/>
      <c r="F92" s="48" t="n"/>
      <c r="G92" s="50">
        <f>IF(A92="","",Settings!$B$4)</f>
        <v/>
      </c>
      <c r="H92" s="48">
        <f>IF(F92="","",IF(J92="Yes",ROUND(F92*G92,2),0))</f>
        <v/>
      </c>
      <c r="I92" s="48">
        <f>IF(F92="","",F92+ROUND(F92*G92,2))</f>
        <v/>
      </c>
      <c r="J92" s="14" t="n"/>
      <c r="K92" s="51">
        <f>IF(A92="","",DATE(YEAR(A92),MONTH(A92),1))</f>
        <v/>
      </c>
      <c r="L92" s="14" t="n"/>
      <c r="M92" s="52" t="n"/>
      <c r="N92" s="14" t="n"/>
    </row>
    <row r="93">
      <c r="A93" s="49" t="n"/>
      <c r="B93" s="14" t="n"/>
      <c r="C93" s="14" t="n"/>
      <c r="D93" s="14" t="n"/>
      <c r="E93" s="14" t="n"/>
      <c r="F93" s="48" t="n"/>
      <c r="G93" s="50">
        <f>IF(A93="","",Settings!$B$4)</f>
        <v/>
      </c>
      <c r="H93" s="48">
        <f>IF(F93="","",IF(J93="Yes",ROUND(F93*G93,2),0))</f>
        <v/>
      </c>
      <c r="I93" s="48">
        <f>IF(F93="","",F93+ROUND(F93*G93,2))</f>
        <v/>
      </c>
      <c r="J93" s="14" t="n"/>
      <c r="K93" s="51">
        <f>IF(A93="","",DATE(YEAR(A93),MONTH(A93),1))</f>
        <v/>
      </c>
      <c r="L93" s="14" t="n"/>
      <c r="M93" s="52" t="n"/>
      <c r="N93" s="14" t="n"/>
    </row>
    <row r="94">
      <c r="A94" s="49" t="n"/>
      <c r="B94" s="14" t="n"/>
      <c r="C94" s="14" t="n"/>
      <c r="D94" s="14" t="n"/>
      <c r="E94" s="14" t="n"/>
      <c r="F94" s="48" t="n"/>
      <c r="G94" s="50">
        <f>IF(A94="","",Settings!$B$4)</f>
        <v/>
      </c>
      <c r="H94" s="48">
        <f>IF(F94="","",IF(J94="Yes",ROUND(F94*G94,2),0))</f>
        <v/>
      </c>
      <c r="I94" s="48">
        <f>IF(F94="","",F94+ROUND(F94*G94,2))</f>
        <v/>
      </c>
      <c r="J94" s="14" t="n"/>
      <c r="K94" s="51">
        <f>IF(A94="","",DATE(YEAR(A94),MONTH(A94),1))</f>
        <v/>
      </c>
      <c r="L94" s="14" t="n"/>
      <c r="M94" s="52" t="n"/>
      <c r="N94" s="14" t="n"/>
    </row>
    <row r="95">
      <c r="A95" s="49" t="n"/>
      <c r="B95" s="14" t="n"/>
      <c r="C95" s="14" t="n"/>
      <c r="D95" s="14" t="n"/>
      <c r="E95" s="14" t="n"/>
      <c r="F95" s="48" t="n"/>
      <c r="G95" s="50">
        <f>IF(A95="","",Settings!$B$4)</f>
        <v/>
      </c>
      <c r="H95" s="48">
        <f>IF(F95="","",IF(J95="Yes",ROUND(F95*G95,2),0))</f>
        <v/>
      </c>
      <c r="I95" s="48">
        <f>IF(F95="","",F95+ROUND(F95*G95,2))</f>
        <v/>
      </c>
      <c r="J95" s="14" t="n"/>
      <c r="K95" s="51">
        <f>IF(A95="","",DATE(YEAR(A95),MONTH(A95),1))</f>
        <v/>
      </c>
      <c r="L95" s="14" t="n"/>
      <c r="M95" s="52" t="n"/>
      <c r="N95" s="14" t="n"/>
    </row>
    <row r="96">
      <c r="A96" s="49" t="n"/>
      <c r="B96" s="14" t="n"/>
      <c r="C96" s="14" t="n"/>
      <c r="D96" s="14" t="n"/>
      <c r="E96" s="14" t="n"/>
      <c r="F96" s="48" t="n"/>
      <c r="G96" s="50">
        <f>IF(A96="","",Settings!$B$4)</f>
        <v/>
      </c>
      <c r="H96" s="48">
        <f>IF(F96="","",IF(J96="Yes",ROUND(F96*G96,2),0))</f>
        <v/>
      </c>
      <c r="I96" s="48">
        <f>IF(F96="","",F96+ROUND(F96*G96,2))</f>
        <v/>
      </c>
      <c r="J96" s="14" t="n"/>
      <c r="K96" s="51">
        <f>IF(A96="","",DATE(YEAR(A96),MONTH(A96),1))</f>
        <v/>
      </c>
      <c r="L96" s="14" t="n"/>
      <c r="M96" s="52" t="n"/>
      <c r="N96" s="14" t="n"/>
    </row>
    <row r="97">
      <c r="A97" s="49" t="n"/>
      <c r="B97" s="14" t="n"/>
      <c r="C97" s="14" t="n"/>
      <c r="D97" s="14" t="n"/>
      <c r="E97" s="14" t="n"/>
      <c r="F97" s="48" t="n"/>
      <c r="G97" s="50">
        <f>IF(A97="","",Settings!$B$4)</f>
        <v/>
      </c>
      <c r="H97" s="48">
        <f>IF(F97="","",IF(J97="Yes",ROUND(F97*G97,2),0))</f>
        <v/>
      </c>
      <c r="I97" s="48">
        <f>IF(F97="","",F97+ROUND(F97*G97,2))</f>
        <v/>
      </c>
      <c r="J97" s="14" t="n"/>
      <c r="K97" s="51">
        <f>IF(A97="","",DATE(YEAR(A97),MONTH(A97),1))</f>
        <v/>
      </c>
      <c r="L97" s="14" t="n"/>
      <c r="M97" s="52" t="n"/>
      <c r="N97" s="14" t="n"/>
    </row>
    <row r="98">
      <c r="A98" s="49" t="n"/>
      <c r="B98" s="14" t="n"/>
      <c r="C98" s="14" t="n"/>
      <c r="D98" s="14" t="n"/>
      <c r="E98" s="14" t="n"/>
      <c r="F98" s="48" t="n"/>
      <c r="G98" s="50">
        <f>IF(A98="","",Settings!$B$4)</f>
        <v/>
      </c>
      <c r="H98" s="48">
        <f>IF(F98="","",IF(J98="Yes",ROUND(F98*G98,2),0))</f>
        <v/>
      </c>
      <c r="I98" s="48">
        <f>IF(F98="","",F98+ROUND(F98*G98,2))</f>
        <v/>
      </c>
      <c r="J98" s="14" t="n"/>
      <c r="K98" s="51">
        <f>IF(A98="","",DATE(YEAR(A98),MONTH(A98),1))</f>
        <v/>
      </c>
      <c r="L98" s="14" t="n"/>
      <c r="M98" s="52" t="n"/>
      <c r="N98" s="14" t="n"/>
    </row>
    <row r="99">
      <c r="A99" s="49" t="n"/>
      <c r="B99" s="14" t="n"/>
      <c r="C99" s="14" t="n"/>
      <c r="D99" s="14" t="n"/>
      <c r="E99" s="14" t="n"/>
      <c r="F99" s="48" t="n"/>
      <c r="G99" s="50">
        <f>IF(A99="","",Settings!$B$4)</f>
        <v/>
      </c>
      <c r="H99" s="48">
        <f>IF(F99="","",IF(J99="Yes",ROUND(F99*G99,2),0))</f>
        <v/>
      </c>
      <c r="I99" s="48">
        <f>IF(F99="","",F99+ROUND(F99*G99,2))</f>
        <v/>
      </c>
      <c r="J99" s="14" t="n"/>
      <c r="K99" s="51">
        <f>IF(A99="","",DATE(YEAR(A99),MONTH(A99),1))</f>
        <v/>
      </c>
      <c r="L99" s="14" t="n"/>
      <c r="M99" s="52" t="n"/>
      <c r="N99" s="14" t="n"/>
    </row>
    <row r="100">
      <c r="A100" s="49" t="n"/>
      <c r="B100" s="14" t="n"/>
      <c r="C100" s="14" t="n"/>
      <c r="D100" s="14" t="n"/>
      <c r="E100" s="14" t="n"/>
      <c r="F100" s="48" t="n"/>
      <c r="G100" s="50">
        <f>IF(A100="","",Settings!$B$4)</f>
        <v/>
      </c>
      <c r="H100" s="48">
        <f>IF(F100="","",IF(J100="Yes",ROUND(F100*G100,2),0))</f>
        <v/>
      </c>
      <c r="I100" s="48">
        <f>IF(F100="","",F100+ROUND(F100*G100,2))</f>
        <v/>
      </c>
      <c r="J100" s="14" t="n"/>
      <c r="K100" s="51">
        <f>IF(A100="","",DATE(YEAR(A100),MONTH(A100),1))</f>
        <v/>
      </c>
      <c r="L100" s="14" t="n"/>
      <c r="M100" s="52" t="n"/>
      <c r="N100" s="14" t="n"/>
    </row>
    <row r="101">
      <c r="A101" s="49" t="n"/>
      <c r="B101" s="14" t="n"/>
      <c r="C101" s="14" t="n"/>
      <c r="D101" s="14" t="n"/>
      <c r="E101" s="14" t="n"/>
      <c r="F101" s="48" t="n"/>
      <c r="G101" s="50">
        <f>IF(A101="","",Settings!$B$4)</f>
        <v/>
      </c>
      <c r="H101" s="48">
        <f>IF(F101="","",IF(J101="Yes",ROUND(F101*G101,2),0))</f>
        <v/>
      </c>
      <c r="I101" s="48">
        <f>IF(F101="","",F101+ROUND(F101*G101,2))</f>
        <v/>
      </c>
      <c r="J101" s="14" t="n"/>
      <c r="K101" s="51">
        <f>IF(A101="","",DATE(YEAR(A101),MONTH(A101),1))</f>
        <v/>
      </c>
      <c r="L101" s="14" t="n"/>
      <c r="M101" s="52" t="n"/>
      <c r="N101" s="14" t="n"/>
    </row>
    <row r="102">
      <c r="A102" s="49" t="n"/>
      <c r="B102" s="14" t="n"/>
      <c r="C102" s="14" t="n"/>
      <c r="D102" s="14" t="n"/>
      <c r="E102" s="14" t="n"/>
      <c r="F102" s="48" t="n"/>
      <c r="G102" s="50">
        <f>IF(A102="","",Settings!$B$4)</f>
        <v/>
      </c>
      <c r="H102" s="48">
        <f>IF(F102="","",IF(J102="Yes",ROUND(F102*G102,2),0))</f>
        <v/>
      </c>
      <c r="I102" s="48">
        <f>IF(F102="","",F102+ROUND(F102*G102,2))</f>
        <v/>
      </c>
      <c r="J102" s="14" t="n"/>
      <c r="K102" s="51">
        <f>IF(A102="","",DATE(YEAR(A102),MONTH(A102),1))</f>
        <v/>
      </c>
      <c r="L102" s="14" t="n"/>
      <c r="M102" s="52" t="n"/>
      <c r="N102" s="14" t="n"/>
    </row>
    <row r="103">
      <c r="A103" s="49" t="n"/>
      <c r="B103" s="14" t="n"/>
      <c r="C103" s="14" t="n"/>
      <c r="D103" s="14" t="n"/>
      <c r="E103" s="14" t="n"/>
      <c r="F103" s="48" t="n"/>
      <c r="G103" s="50">
        <f>IF(A103="","",Settings!$B$4)</f>
        <v/>
      </c>
      <c r="H103" s="48">
        <f>IF(F103="","",IF(J103="Yes",ROUND(F103*G103,2),0))</f>
        <v/>
      </c>
      <c r="I103" s="48">
        <f>IF(F103="","",F103+ROUND(F103*G103,2))</f>
        <v/>
      </c>
      <c r="J103" s="14" t="n"/>
      <c r="K103" s="51">
        <f>IF(A103="","",DATE(YEAR(A103),MONTH(A103),1))</f>
        <v/>
      </c>
      <c r="L103" s="14" t="n"/>
      <c r="M103" s="52" t="n"/>
      <c r="N103" s="14" t="n"/>
    </row>
    <row r="104">
      <c r="A104" s="49" t="n"/>
      <c r="B104" s="14" t="n"/>
      <c r="C104" s="14" t="n"/>
      <c r="D104" s="14" t="n"/>
      <c r="E104" s="14" t="n"/>
      <c r="F104" s="48" t="n"/>
      <c r="G104" s="50">
        <f>IF(A104="","",Settings!$B$4)</f>
        <v/>
      </c>
      <c r="H104" s="48">
        <f>IF(F104="","",IF(J104="Yes",ROUND(F104*G104,2),0))</f>
        <v/>
      </c>
      <c r="I104" s="48">
        <f>IF(F104="","",F104+ROUND(F104*G104,2))</f>
        <v/>
      </c>
      <c r="J104" s="14" t="n"/>
      <c r="K104" s="51">
        <f>IF(A104="","",DATE(YEAR(A104),MONTH(A104),1))</f>
        <v/>
      </c>
      <c r="L104" s="14" t="n"/>
      <c r="M104" s="52" t="n"/>
      <c r="N104" s="14" t="n"/>
    </row>
    <row r="105">
      <c r="A105" s="49" t="n"/>
      <c r="B105" s="14" t="n"/>
      <c r="C105" s="14" t="n"/>
      <c r="D105" s="14" t="n"/>
      <c r="E105" s="14" t="n"/>
      <c r="F105" s="48" t="n"/>
      <c r="G105" s="50">
        <f>IF(A105="","",Settings!$B$4)</f>
        <v/>
      </c>
      <c r="H105" s="48">
        <f>IF(F105="","",IF(J105="Yes",ROUND(F105*G105,2),0))</f>
        <v/>
      </c>
      <c r="I105" s="48">
        <f>IF(F105="","",F105+ROUND(F105*G105,2))</f>
        <v/>
      </c>
      <c r="J105" s="14" t="n"/>
      <c r="K105" s="51">
        <f>IF(A105="","",DATE(YEAR(A105),MONTH(A105),1))</f>
        <v/>
      </c>
      <c r="L105" s="14" t="n"/>
      <c r="M105" s="52" t="n"/>
      <c r="N105" s="14" t="n"/>
    </row>
    <row r="106">
      <c r="A106" s="49" t="n"/>
      <c r="B106" s="14" t="n"/>
      <c r="C106" s="14" t="n"/>
      <c r="D106" s="14" t="n"/>
      <c r="E106" s="14" t="n"/>
      <c r="F106" s="48" t="n"/>
      <c r="G106" s="50">
        <f>IF(A106="","",Settings!$B$4)</f>
        <v/>
      </c>
      <c r="H106" s="48">
        <f>IF(F106="","",IF(J106="Yes",ROUND(F106*G106,2),0))</f>
        <v/>
      </c>
      <c r="I106" s="48">
        <f>IF(F106="","",F106+ROUND(F106*G106,2))</f>
        <v/>
      </c>
      <c r="J106" s="14" t="n"/>
      <c r="K106" s="51">
        <f>IF(A106="","",DATE(YEAR(A106),MONTH(A106),1))</f>
        <v/>
      </c>
      <c r="L106" s="14" t="n"/>
      <c r="M106" s="52" t="n"/>
      <c r="N106" s="14" t="n"/>
    </row>
    <row r="107">
      <c r="A107" s="49" t="n"/>
      <c r="B107" s="14" t="n"/>
      <c r="C107" s="14" t="n"/>
      <c r="D107" s="14" t="n"/>
      <c r="E107" s="14" t="n"/>
      <c r="F107" s="48" t="n"/>
      <c r="G107" s="50">
        <f>IF(A107="","",Settings!$B$4)</f>
        <v/>
      </c>
      <c r="H107" s="48">
        <f>IF(F107="","",IF(J107="Yes",ROUND(F107*G107,2),0))</f>
        <v/>
      </c>
      <c r="I107" s="48">
        <f>IF(F107="","",F107+ROUND(F107*G107,2))</f>
        <v/>
      </c>
      <c r="J107" s="14" t="n"/>
      <c r="K107" s="51">
        <f>IF(A107="","",DATE(YEAR(A107),MONTH(A107),1))</f>
        <v/>
      </c>
      <c r="L107" s="14" t="n"/>
      <c r="M107" s="52" t="n"/>
      <c r="N107" s="14" t="n"/>
    </row>
    <row r="108">
      <c r="A108" s="49" t="n"/>
      <c r="B108" s="14" t="n"/>
      <c r="C108" s="14" t="n"/>
      <c r="D108" s="14" t="n"/>
      <c r="E108" s="14" t="n"/>
      <c r="F108" s="48" t="n"/>
      <c r="G108" s="50">
        <f>IF(A108="","",Settings!$B$4)</f>
        <v/>
      </c>
      <c r="H108" s="48">
        <f>IF(F108="","",IF(J108="Yes",ROUND(F108*G108,2),0))</f>
        <v/>
      </c>
      <c r="I108" s="48">
        <f>IF(F108="","",F108+ROUND(F108*G108,2))</f>
        <v/>
      </c>
      <c r="J108" s="14" t="n"/>
      <c r="K108" s="51">
        <f>IF(A108="","",DATE(YEAR(A108),MONTH(A108),1))</f>
        <v/>
      </c>
      <c r="L108" s="14" t="n"/>
      <c r="M108" s="52" t="n"/>
      <c r="N108" s="14" t="n"/>
    </row>
    <row r="109">
      <c r="A109" s="49" t="n"/>
      <c r="B109" s="14" t="n"/>
      <c r="C109" s="14" t="n"/>
      <c r="D109" s="14" t="n"/>
      <c r="E109" s="14" t="n"/>
      <c r="F109" s="48" t="n"/>
      <c r="G109" s="50">
        <f>IF(A109="","",Settings!$B$4)</f>
        <v/>
      </c>
      <c r="H109" s="48">
        <f>IF(F109="","",IF(J109="Yes",ROUND(F109*G109,2),0))</f>
        <v/>
      </c>
      <c r="I109" s="48">
        <f>IF(F109="","",F109+ROUND(F109*G109,2))</f>
        <v/>
      </c>
      <c r="J109" s="14" t="n"/>
      <c r="K109" s="51">
        <f>IF(A109="","",DATE(YEAR(A109),MONTH(A109),1))</f>
        <v/>
      </c>
      <c r="L109" s="14" t="n"/>
      <c r="M109" s="52" t="n"/>
      <c r="N109" s="14" t="n"/>
    </row>
    <row r="110">
      <c r="A110" s="49" t="n"/>
      <c r="B110" s="14" t="n"/>
      <c r="C110" s="14" t="n"/>
      <c r="D110" s="14" t="n"/>
      <c r="E110" s="14" t="n"/>
      <c r="F110" s="48" t="n"/>
      <c r="G110" s="50">
        <f>IF(A110="","",Settings!$B$4)</f>
        <v/>
      </c>
      <c r="H110" s="48">
        <f>IF(F110="","",IF(J110="Yes",ROUND(F110*G110,2),0))</f>
        <v/>
      </c>
      <c r="I110" s="48">
        <f>IF(F110="","",F110+ROUND(F110*G110,2))</f>
        <v/>
      </c>
      <c r="J110" s="14" t="n"/>
      <c r="K110" s="51">
        <f>IF(A110="","",DATE(YEAR(A110),MONTH(A110),1))</f>
        <v/>
      </c>
      <c r="L110" s="14" t="n"/>
      <c r="M110" s="52" t="n"/>
      <c r="N110" s="14" t="n"/>
    </row>
    <row r="111">
      <c r="A111" s="49" t="n"/>
      <c r="B111" s="14" t="n"/>
      <c r="C111" s="14" t="n"/>
      <c r="D111" s="14" t="n"/>
      <c r="E111" s="14" t="n"/>
      <c r="F111" s="48" t="n"/>
      <c r="G111" s="50">
        <f>IF(A111="","",Settings!$B$4)</f>
        <v/>
      </c>
      <c r="H111" s="48">
        <f>IF(F111="","",IF(J111="Yes",ROUND(F111*G111,2),0))</f>
        <v/>
      </c>
      <c r="I111" s="48">
        <f>IF(F111="","",F111+ROUND(F111*G111,2))</f>
        <v/>
      </c>
      <c r="J111" s="14" t="n"/>
      <c r="K111" s="51">
        <f>IF(A111="","",DATE(YEAR(A111),MONTH(A111),1))</f>
        <v/>
      </c>
      <c r="L111" s="14" t="n"/>
      <c r="M111" s="52" t="n"/>
      <c r="N111" s="14" t="n"/>
    </row>
    <row r="112">
      <c r="A112" s="49" t="n"/>
      <c r="B112" s="14" t="n"/>
      <c r="C112" s="14" t="n"/>
      <c r="D112" s="14" t="n"/>
      <c r="E112" s="14" t="n"/>
      <c r="F112" s="48" t="n"/>
      <c r="G112" s="50">
        <f>IF(A112="","",Settings!$B$4)</f>
        <v/>
      </c>
      <c r="H112" s="48">
        <f>IF(F112="","",IF(J112="Yes",ROUND(F112*G112,2),0))</f>
        <v/>
      </c>
      <c r="I112" s="48">
        <f>IF(F112="","",F112+ROUND(F112*G112,2))</f>
        <v/>
      </c>
      <c r="J112" s="14" t="n"/>
      <c r="K112" s="51">
        <f>IF(A112="","",DATE(YEAR(A112),MONTH(A112),1))</f>
        <v/>
      </c>
      <c r="L112" s="14" t="n"/>
      <c r="M112" s="52" t="n"/>
      <c r="N112" s="14" t="n"/>
    </row>
    <row r="113">
      <c r="A113" s="49" t="n"/>
      <c r="B113" s="14" t="n"/>
      <c r="C113" s="14" t="n"/>
      <c r="D113" s="14" t="n"/>
      <c r="E113" s="14" t="n"/>
      <c r="F113" s="48" t="n"/>
      <c r="G113" s="50">
        <f>IF(A113="","",Settings!$B$4)</f>
        <v/>
      </c>
      <c r="H113" s="48">
        <f>IF(F113="","",IF(J113="Yes",ROUND(F113*G113,2),0))</f>
        <v/>
      </c>
      <c r="I113" s="48">
        <f>IF(F113="","",F113+ROUND(F113*G113,2))</f>
        <v/>
      </c>
      <c r="J113" s="14" t="n"/>
      <c r="K113" s="51">
        <f>IF(A113="","",DATE(YEAR(A113),MONTH(A113),1))</f>
        <v/>
      </c>
      <c r="L113" s="14" t="n"/>
      <c r="M113" s="52" t="n"/>
      <c r="N113" s="14" t="n"/>
    </row>
    <row r="114">
      <c r="A114" s="49" t="n"/>
      <c r="B114" s="14" t="n"/>
      <c r="C114" s="14" t="n"/>
      <c r="D114" s="14" t="n"/>
      <c r="E114" s="14" t="n"/>
      <c r="F114" s="48" t="n"/>
      <c r="G114" s="50">
        <f>IF(A114="","",Settings!$B$4)</f>
        <v/>
      </c>
      <c r="H114" s="48">
        <f>IF(F114="","",IF(J114="Yes",ROUND(F114*G114,2),0))</f>
        <v/>
      </c>
      <c r="I114" s="48">
        <f>IF(F114="","",F114+ROUND(F114*G114,2))</f>
        <v/>
      </c>
      <c r="J114" s="14" t="n"/>
      <c r="K114" s="51">
        <f>IF(A114="","",DATE(YEAR(A114),MONTH(A114),1))</f>
        <v/>
      </c>
      <c r="L114" s="14" t="n"/>
      <c r="M114" s="52" t="n"/>
      <c r="N114" s="14" t="n"/>
    </row>
    <row r="115">
      <c r="A115" s="49" t="n"/>
      <c r="B115" s="14" t="n"/>
      <c r="C115" s="14" t="n"/>
      <c r="D115" s="14" t="n"/>
      <c r="E115" s="14" t="n"/>
      <c r="F115" s="48" t="n"/>
      <c r="G115" s="50">
        <f>IF(A115="","",Settings!$B$4)</f>
        <v/>
      </c>
      <c r="H115" s="48">
        <f>IF(F115="","",IF(J115="Yes",ROUND(F115*G115,2),0))</f>
        <v/>
      </c>
      <c r="I115" s="48">
        <f>IF(F115="","",F115+ROUND(F115*G115,2))</f>
        <v/>
      </c>
      <c r="J115" s="14" t="n"/>
      <c r="K115" s="51">
        <f>IF(A115="","",DATE(YEAR(A115),MONTH(A115),1))</f>
        <v/>
      </c>
      <c r="L115" s="14" t="n"/>
      <c r="M115" s="52" t="n"/>
      <c r="N115" s="14" t="n"/>
    </row>
    <row r="116">
      <c r="A116" s="49" t="n"/>
      <c r="B116" s="14" t="n"/>
      <c r="C116" s="14" t="n"/>
      <c r="D116" s="14" t="n"/>
      <c r="E116" s="14" t="n"/>
      <c r="F116" s="48" t="n"/>
      <c r="G116" s="50">
        <f>IF(A116="","",Settings!$B$4)</f>
        <v/>
      </c>
      <c r="H116" s="48">
        <f>IF(F116="","",IF(J116="Yes",ROUND(F116*G116,2),0))</f>
        <v/>
      </c>
      <c r="I116" s="48">
        <f>IF(F116="","",F116+ROUND(F116*G116,2))</f>
        <v/>
      </c>
      <c r="J116" s="14" t="n"/>
      <c r="K116" s="51">
        <f>IF(A116="","",DATE(YEAR(A116),MONTH(A116),1))</f>
        <v/>
      </c>
      <c r="L116" s="14" t="n"/>
      <c r="M116" s="52" t="n"/>
      <c r="N116" s="14" t="n"/>
    </row>
    <row r="117">
      <c r="A117" s="49" t="n"/>
      <c r="B117" s="14" t="n"/>
      <c r="C117" s="14" t="n"/>
      <c r="D117" s="14" t="n"/>
      <c r="E117" s="14" t="n"/>
      <c r="F117" s="48" t="n"/>
      <c r="G117" s="50">
        <f>IF(A117="","",Settings!$B$4)</f>
        <v/>
      </c>
      <c r="H117" s="48">
        <f>IF(F117="","",IF(J117="Yes",ROUND(F117*G117,2),0))</f>
        <v/>
      </c>
      <c r="I117" s="48">
        <f>IF(F117="","",F117+ROUND(F117*G117,2))</f>
        <v/>
      </c>
      <c r="J117" s="14" t="n"/>
      <c r="K117" s="51">
        <f>IF(A117="","",DATE(YEAR(A117),MONTH(A117),1))</f>
        <v/>
      </c>
      <c r="L117" s="14" t="n"/>
      <c r="M117" s="52" t="n"/>
      <c r="N117" s="14" t="n"/>
    </row>
    <row r="118">
      <c r="A118" s="49" t="n"/>
      <c r="B118" s="14" t="n"/>
      <c r="C118" s="14" t="n"/>
      <c r="D118" s="14" t="n"/>
      <c r="E118" s="14" t="n"/>
      <c r="F118" s="48" t="n"/>
      <c r="G118" s="50">
        <f>IF(A118="","",Settings!$B$4)</f>
        <v/>
      </c>
      <c r="H118" s="48">
        <f>IF(F118="","",IF(J118="Yes",ROUND(F118*G118,2),0))</f>
        <v/>
      </c>
      <c r="I118" s="48">
        <f>IF(F118="","",F118+ROUND(F118*G118,2))</f>
        <v/>
      </c>
      <c r="J118" s="14" t="n"/>
      <c r="K118" s="51">
        <f>IF(A118="","",DATE(YEAR(A118),MONTH(A118),1))</f>
        <v/>
      </c>
      <c r="L118" s="14" t="n"/>
      <c r="M118" s="52" t="n"/>
      <c r="N118" s="14" t="n"/>
    </row>
    <row r="119">
      <c r="A119" s="49" t="n"/>
      <c r="B119" s="14" t="n"/>
      <c r="C119" s="14" t="n"/>
      <c r="D119" s="14" t="n"/>
      <c r="E119" s="14" t="n"/>
      <c r="F119" s="48" t="n"/>
      <c r="G119" s="50">
        <f>IF(A119="","",Settings!$B$4)</f>
        <v/>
      </c>
      <c r="H119" s="48">
        <f>IF(F119="","",IF(J119="Yes",ROUND(F119*G119,2),0))</f>
        <v/>
      </c>
      <c r="I119" s="48">
        <f>IF(F119="","",F119+ROUND(F119*G119,2))</f>
        <v/>
      </c>
      <c r="J119" s="14" t="n"/>
      <c r="K119" s="51">
        <f>IF(A119="","",DATE(YEAR(A119),MONTH(A119),1))</f>
        <v/>
      </c>
      <c r="L119" s="14" t="n"/>
      <c r="M119" s="52" t="n"/>
      <c r="N119" s="14" t="n"/>
    </row>
    <row r="120">
      <c r="A120" s="49" t="n"/>
      <c r="B120" s="14" t="n"/>
      <c r="C120" s="14" t="n"/>
      <c r="D120" s="14" t="n"/>
      <c r="E120" s="14" t="n"/>
      <c r="F120" s="48" t="n"/>
      <c r="G120" s="50">
        <f>IF(A120="","",Settings!$B$4)</f>
        <v/>
      </c>
      <c r="H120" s="48">
        <f>IF(F120="","",IF(J120="Yes",ROUND(F120*G120,2),0))</f>
        <v/>
      </c>
      <c r="I120" s="48">
        <f>IF(F120="","",F120+ROUND(F120*G120,2))</f>
        <v/>
      </c>
      <c r="J120" s="14" t="n"/>
      <c r="K120" s="51">
        <f>IF(A120="","",DATE(YEAR(A120),MONTH(A120),1))</f>
        <v/>
      </c>
      <c r="L120" s="14" t="n"/>
      <c r="M120" s="52" t="n"/>
      <c r="N120" s="14" t="n"/>
    </row>
    <row r="121">
      <c r="A121" s="49" t="n"/>
      <c r="B121" s="14" t="n"/>
      <c r="C121" s="14" t="n"/>
      <c r="D121" s="14" t="n"/>
      <c r="E121" s="14" t="n"/>
      <c r="F121" s="48" t="n"/>
      <c r="G121" s="50">
        <f>IF(A121="","",Settings!$B$4)</f>
        <v/>
      </c>
      <c r="H121" s="48">
        <f>IF(F121="","",IF(J121="Yes",ROUND(F121*G121,2),0))</f>
        <v/>
      </c>
      <c r="I121" s="48">
        <f>IF(F121="","",F121+ROUND(F121*G121,2))</f>
        <v/>
      </c>
      <c r="J121" s="14" t="n"/>
      <c r="K121" s="51">
        <f>IF(A121="","",DATE(YEAR(A121),MONTH(A121),1))</f>
        <v/>
      </c>
      <c r="L121" s="14" t="n"/>
      <c r="M121" s="52" t="n"/>
      <c r="N121" s="14" t="n"/>
    </row>
    <row r="122">
      <c r="A122" s="49" t="n"/>
      <c r="B122" s="14" t="n"/>
      <c r="C122" s="14" t="n"/>
      <c r="D122" s="14" t="n"/>
      <c r="E122" s="14" t="n"/>
      <c r="F122" s="48" t="n"/>
      <c r="G122" s="50">
        <f>IF(A122="","",Settings!$B$4)</f>
        <v/>
      </c>
      <c r="H122" s="48">
        <f>IF(F122="","",IF(J122="Yes",ROUND(F122*G122,2),0))</f>
        <v/>
      </c>
      <c r="I122" s="48">
        <f>IF(F122="","",F122+ROUND(F122*G122,2))</f>
        <v/>
      </c>
      <c r="J122" s="14" t="n"/>
      <c r="K122" s="51">
        <f>IF(A122="","",DATE(YEAR(A122),MONTH(A122),1))</f>
        <v/>
      </c>
      <c r="L122" s="14" t="n"/>
      <c r="M122" s="52" t="n"/>
      <c r="N122" s="14" t="n"/>
    </row>
    <row r="123">
      <c r="A123" s="49" t="n"/>
      <c r="B123" s="14" t="n"/>
      <c r="C123" s="14" t="n"/>
      <c r="D123" s="14" t="n"/>
      <c r="E123" s="14" t="n"/>
      <c r="F123" s="48" t="n"/>
      <c r="G123" s="50">
        <f>IF(A123="","",Settings!$B$4)</f>
        <v/>
      </c>
      <c r="H123" s="48">
        <f>IF(F123="","",IF(J123="Yes",ROUND(F123*G123,2),0))</f>
        <v/>
      </c>
      <c r="I123" s="48">
        <f>IF(F123="","",F123+ROUND(F123*G123,2))</f>
        <v/>
      </c>
      <c r="J123" s="14" t="n"/>
      <c r="K123" s="51">
        <f>IF(A123="","",DATE(YEAR(A123),MONTH(A123),1))</f>
        <v/>
      </c>
      <c r="L123" s="14" t="n"/>
      <c r="M123" s="52" t="n"/>
      <c r="N123" s="14" t="n"/>
    </row>
    <row r="124">
      <c r="A124" s="49" t="n"/>
      <c r="B124" s="14" t="n"/>
      <c r="C124" s="14" t="n"/>
      <c r="D124" s="14" t="n"/>
      <c r="E124" s="14" t="n"/>
      <c r="F124" s="48" t="n"/>
      <c r="G124" s="50">
        <f>IF(A124="","",Settings!$B$4)</f>
        <v/>
      </c>
      <c r="H124" s="48">
        <f>IF(F124="","",IF(J124="Yes",ROUND(F124*G124,2),0))</f>
        <v/>
      </c>
      <c r="I124" s="48">
        <f>IF(F124="","",F124+ROUND(F124*G124,2))</f>
        <v/>
      </c>
      <c r="J124" s="14" t="n"/>
      <c r="K124" s="51">
        <f>IF(A124="","",DATE(YEAR(A124),MONTH(A124),1))</f>
        <v/>
      </c>
      <c r="L124" s="14" t="n"/>
      <c r="M124" s="52" t="n"/>
      <c r="N124" s="14" t="n"/>
    </row>
    <row r="125">
      <c r="A125" s="49" t="n"/>
      <c r="B125" s="14" t="n"/>
      <c r="C125" s="14" t="n"/>
      <c r="D125" s="14" t="n"/>
      <c r="E125" s="14" t="n"/>
      <c r="F125" s="48" t="n"/>
      <c r="G125" s="50">
        <f>IF(A125="","",Settings!$B$4)</f>
        <v/>
      </c>
      <c r="H125" s="48">
        <f>IF(F125="","",IF(J125="Yes",ROUND(F125*G125,2),0))</f>
        <v/>
      </c>
      <c r="I125" s="48">
        <f>IF(F125="","",F125+ROUND(F125*G125,2))</f>
        <v/>
      </c>
      <c r="J125" s="14" t="n"/>
      <c r="K125" s="51">
        <f>IF(A125="","",DATE(YEAR(A125),MONTH(A125),1))</f>
        <v/>
      </c>
      <c r="L125" s="14" t="n"/>
      <c r="M125" s="52" t="n"/>
      <c r="N125" s="14" t="n"/>
    </row>
    <row r="126">
      <c r="A126" s="49" t="n"/>
      <c r="B126" s="14" t="n"/>
      <c r="C126" s="14" t="n"/>
      <c r="D126" s="14" t="n"/>
      <c r="E126" s="14" t="n"/>
      <c r="F126" s="48" t="n"/>
      <c r="G126" s="50">
        <f>IF(A126="","",Settings!$B$4)</f>
        <v/>
      </c>
      <c r="H126" s="48">
        <f>IF(F126="","",IF(J126="Yes",ROUND(F126*G126,2),0))</f>
        <v/>
      </c>
      <c r="I126" s="48">
        <f>IF(F126="","",F126+ROUND(F126*G126,2))</f>
        <v/>
      </c>
      <c r="J126" s="14" t="n"/>
      <c r="K126" s="51">
        <f>IF(A126="","",DATE(YEAR(A126),MONTH(A126),1))</f>
        <v/>
      </c>
      <c r="L126" s="14" t="n"/>
      <c r="M126" s="52" t="n"/>
      <c r="N126" s="14" t="n"/>
    </row>
    <row r="127">
      <c r="A127" s="49" t="n"/>
      <c r="B127" s="14" t="n"/>
      <c r="C127" s="14" t="n"/>
      <c r="D127" s="14" t="n"/>
      <c r="E127" s="14" t="n"/>
      <c r="F127" s="48" t="n"/>
      <c r="G127" s="50">
        <f>IF(A127="","",Settings!$B$4)</f>
        <v/>
      </c>
      <c r="H127" s="48">
        <f>IF(F127="","",IF(J127="Yes",ROUND(F127*G127,2),0))</f>
        <v/>
      </c>
      <c r="I127" s="48">
        <f>IF(F127="","",F127+ROUND(F127*G127,2))</f>
        <v/>
      </c>
      <c r="J127" s="14" t="n"/>
      <c r="K127" s="51">
        <f>IF(A127="","",DATE(YEAR(A127),MONTH(A127),1))</f>
        <v/>
      </c>
      <c r="L127" s="14" t="n"/>
      <c r="M127" s="52" t="n"/>
      <c r="N127" s="14" t="n"/>
    </row>
    <row r="128">
      <c r="A128" s="49" t="n"/>
      <c r="B128" s="14" t="n"/>
      <c r="C128" s="14" t="n"/>
      <c r="D128" s="14" t="n"/>
      <c r="E128" s="14" t="n"/>
      <c r="F128" s="48" t="n"/>
      <c r="G128" s="50">
        <f>IF(A128="","",Settings!$B$4)</f>
        <v/>
      </c>
      <c r="H128" s="48">
        <f>IF(F128="","",IF(J128="Yes",ROUND(F128*G128,2),0))</f>
        <v/>
      </c>
      <c r="I128" s="48">
        <f>IF(F128="","",F128+ROUND(F128*G128,2))</f>
        <v/>
      </c>
      <c r="J128" s="14" t="n"/>
      <c r="K128" s="51">
        <f>IF(A128="","",DATE(YEAR(A128),MONTH(A128),1))</f>
        <v/>
      </c>
      <c r="L128" s="14" t="n"/>
      <c r="M128" s="52" t="n"/>
      <c r="N128" s="14" t="n"/>
    </row>
    <row r="129">
      <c r="A129" s="49" t="n"/>
      <c r="B129" s="14" t="n"/>
      <c r="C129" s="14" t="n"/>
      <c r="D129" s="14" t="n"/>
      <c r="E129" s="14" t="n"/>
      <c r="F129" s="48" t="n"/>
      <c r="G129" s="50">
        <f>IF(A129="","",Settings!$B$4)</f>
        <v/>
      </c>
      <c r="H129" s="48">
        <f>IF(F129="","",IF(J129="Yes",ROUND(F129*G129,2),0))</f>
        <v/>
      </c>
      <c r="I129" s="48">
        <f>IF(F129="","",F129+ROUND(F129*G129,2))</f>
        <v/>
      </c>
      <c r="J129" s="14" t="n"/>
      <c r="K129" s="51">
        <f>IF(A129="","",DATE(YEAR(A129),MONTH(A129),1))</f>
        <v/>
      </c>
      <c r="L129" s="14" t="n"/>
      <c r="M129" s="52" t="n"/>
      <c r="N129" s="14" t="n"/>
    </row>
    <row r="130">
      <c r="A130" s="49" t="n"/>
      <c r="B130" s="14" t="n"/>
      <c r="C130" s="14" t="n"/>
      <c r="D130" s="14" t="n"/>
      <c r="E130" s="14" t="n"/>
      <c r="F130" s="48" t="n"/>
      <c r="G130" s="50">
        <f>IF(A130="","",Settings!$B$4)</f>
        <v/>
      </c>
      <c r="H130" s="48">
        <f>IF(F130="","",IF(J130="Yes",ROUND(F130*G130,2),0))</f>
        <v/>
      </c>
      <c r="I130" s="48">
        <f>IF(F130="","",F130+ROUND(F130*G130,2))</f>
        <v/>
      </c>
      <c r="J130" s="14" t="n"/>
      <c r="K130" s="51">
        <f>IF(A130="","",DATE(YEAR(A130),MONTH(A130),1))</f>
        <v/>
      </c>
      <c r="L130" s="14" t="n"/>
      <c r="M130" s="52" t="n"/>
      <c r="N130" s="14" t="n"/>
    </row>
    <row r="131">
      <c r="A131" s="49" t="n"/>
      <c r="B131" s="14" t="n"/>
      <c r="C131" s="14" t="n"/>
      <c r="D131" s="14" t="n"/>
      <c r="E131" s="14" t="n"/>
      <c r="F131" s="48" t="n"/>
      <c r="G131" s="50">
        <f>IF(A131="","",Settings!$B$4)</f>
        <v/>
      </c>
      <c r="H131" s="48">
        <f>IF(F131="","",IF(J131="Yes",ROUND(F131*G131,2),0))</f>
        <v/>
      </c>
      <c r="I131" s="48">
        <f>IF(F131="","",F131+ROUND(F131*G131,2))</f>
        <v/>
      </c>
      <c r="J131" s="14" t="n"/>
      <c r="K131" s="51">
        <f>IF(A131="","",DATE(YEAR(A131),MONTH(A131),1))</f>
        <v/>
      </c>
      <c r="L131" s="14" t="n"/>
      <c r="M131" s="52" t="n"/>
      <c r="N131" s="14" t="n"/>
    </row>
    <row r="132">
      <c r="A132" s="49" t="n"/>
      <c r="B132" s="14" t="n"/>
      <c r="C132" s="14" t="n"/>
      <c r="D132" s="14" t="n"/>
      <c r="E132" s="14" t="n"/>
      <c r="F132" s="48" t="n"/>
      <c r="G132" s="50">
        <f>IF(A132="","",Settings!$B$4)</f>
        <v/>
      </c>
      <c r="H132" s="48">
        <f>IF(F132="","",IF(J132="Yes",ROUND(F132*G132,2),0))</f>
        <v/>
      </c>
      <c r="I132" s="48">
        <f>IF(F132="","",F132+ROUND(F132*G132,2))</f>
        <v/>
      </c>
      <c r="J132" s="14" t="n"/>
      <c r="K132" s="51">
        <f>IF(A132="","",DATE(YEAR(A132),MONTH(A132),1))</f>
        <v/>
      </c>
      <c r="L132" s="14" t="n"/>
      <c r="M132" s="52" t="n"/>
      <c r="N132" s="14" t="n"/>
    </row>
    <row r="133">
      <c r="A133" s="49" t="n"/>
      <c r="B133" s="14" t="n"/>
      <c r="C133" s="14" t="n"/>
      <c r="D133" s="14" t="n"/>
      <c r="E133" s="14" t="n"/>
      <c r="F133" s="48" t="n"/>
      <c r="G133" s="50">
        <f>IF(A133="","",Settings!$B$4)</f>
        <v/>
      </c>
      <c r="H133" s="48">
        <f>IF(F133="","",IF(J133="Yes",ROUND(F133*G133,2),0))</f>
        <v/>
      </c>
      <c r="I133" s="48">
        <f>IF(F133="","",F133+ROUND(F133*G133,2))</f>
        <v/>
      </c>
      <c r="J133" s="14" t="n"/>
      <c r="K133" s="51">
        <f>IF(A133="","",DATE(YEAR(A133),MONTH(A133),1))</f>
        <v/>
      </c>
      <c r="L133" s="14" t="n"/>
      <c r="M133" s="52" t="n"/>
      <c r="N133" s="14" t="n"/>
    </row>
    <row r="134">
      <c r="A134" s="49" t="n"/>
      <c r="B134" s="14" t="n"/>
      <c r="C134" s="14" t="n"/>
      <c r="D134" s="14" t="n"/>
      <c r="E134" s="14" t="n"/>
      <c r="F134" s="48" t="n"/>
      <c r="G134" s="50">
        <f>IF(A134="","",Settings!$B$4)</f>
        <v/>
      </c>
      <c r="H134" s="48">
        <f>IF(F134="","",IF(J134="Yes",ROUND(F134*G134,2),0))</f>
        <v/>
      </c>
      <c r="I134" s="48">
        <f>IF(F134="","",F134+ROUND(F134*G134,2))</f>
        <v/>
      </c>
      <c r="J134" s="14" t="n"/>
      <c r="K134" s="51">
        <f>IF(A134="","",DATE(YEAR(A134),MONTH(A134),1))</f>
        <v/>
      </c>
      <c r="L134" s="14" t="n"/>
      <c r="M134" s="52" t="n"/>
      <c r="N134" s="14" t="n"/>
    </row>
    <row r="135">
      <c r="A135" s="49" t="n"/>
      <c r="B135" s="14" t="n"/>
      <c r="C135" s="14" t="n"/>
      <c r="D135" s="14" t="n"/>
      <c r="E135" s="14" t="n"/>
      <c r="F135" s="48" t="n"/>
      <c r="G135" s="50">
        <f>IF(A135="","",Settings!$B$4)</f>
        <v/>
      </c>
      <c r="H135" s="48">
        <f>IF(F135="","",IF(J135="Yes",ROUND(F135*G135,2),0))</f>
        <v/>
      </c>
      <c r="I135" s="48">
        <f>IF(F135="","",F135+ROUND(F135*G135,2))</f>
        <v/>
      </c>
      <c r="J135" s="14" t="n"/>
      <c r="K135" s="51">
        <f>IF(A135="","",DATE(YEAR(A135),MONTH(A135),1))</f>
        <v/>
      </c>
      <c r="L135" s="14" t="n"/>
      <c r="M135" s="52" t="n"/>
      <c r="N135" s="14" t="n"/>
    </row>
    <row r="136">
      <c r="A136" s="49" t="n"/>
      <c r="B136" s="14" t="n"/>
      <c r="C136" s="14" t="n"/>
      <c r="D136" s="14" t="n"/>
      <c r="E136" s="14" t="n"/>
      <c r="F136" s="48" t="n"/>
      <c r="G136" s="50">
        <f>IF(A136="","",Settings!$B$4)</f>
        <v/>
      </c>
      <c r="H136" s="48">
        <f>IF(F136="","",IF(J136="Yes",ROUND(F136*G136,2),0))</f>
        <v/>
      </c>
      <c r="I136" s="48">
        <f>IF(F136="","",F136+ROUND(F136*G136,2))</f>
        <v/>
      </c>
      <c r="J136" s="14" t="n"/>
      <c r="K136" s="51">
        <f>IF(A136="","",DATE(YEAR(A136),MONTH(A136),1))</f>
        <v/>
      </c>
      <c r="L136" s="14" t="n"/>
      <c r="M136" s="52" t="n"/>
      <c r="N136" s="14" t="n"/>
    </row>
    <row r="137">
      <c r="A137" s="49" t="n"/>
      <c r="B137" s="14" t="n"/>
      <c r="C137" s="14" t="n"/>
      <c r="D137" s="14" t="n"/>
      <c r="E137" s="14" t="n"/>
      <c r="F137" s="48" t="n"/>
      <c r="G137" s="50">
        <f>IF(A137="","",Settings!$B$4)</f>
        <v/>
      </c>
      <c r="H137" s="48">
        <f>IF(F137="","",IF(J137="Yes",ROUND(F137*G137,2),0))</f>
        <v/>
      </c>
      <c r="I137" s="48">
        <f>IF(F137="","",F137+ROUND(F137*G137,2))</f>
        <v/>
      </c>
      <c r="J137" s="14" t="n"/>
      <c r="K137" s="51">
        <f>IF(A137="","",DATE(YEAR(A137),MONTH(A137),1))</f>
        <v/>
      </c>
      <c r="L137" s="14" t="n"/>
      <c r="M137" s="52" t="n"/>
      <c r="N137" s="14" t="n"/>
    </row>
    <row r="138">
      <c r="A138" s="49" t="n"/>
      <c r="B138" s="14" t="n"/>
      <c r="C138" s="14" t="n"/>
      <c r="D138" s="14" t="n"/>
      <c r="E138" s="14" t="n"/>
      <c r="F138" s="48" t="n"/>
      <c r="G138" s="50">
        <f>IF(A138="","",Settings!$B$4)</f>
        <v/>
      </c>
      <c r="H138" s="48">
        <f>IF(F138="","",IF(J138="Yes",ROUND(F138*G138,2),0))</f>
        <v/>
      </c>
      <c r="I138" s="48">
        <f>IF(F138="","",F138+ROUND(F138*G138,2))</f>
        <v/>
      </c>
      <c r="J138" s="14" t="n"/>
      <c r="K138" s="51">
        <f>IF(A138="","",DATE(YEAR(A138),MONTH(A138),1))</f>
        <v/>
      </c>
      <c r="L138" s="14" t="n"/>
      <c r="M138" s="52" t="n"/>
      <c r="N138" s="14" t="n"/>
    </row>
    <row r="139">
      <c r="A139" s="49" t="n"/>
      <c r="B139" s="14" t="n"/>
      <c r="C139" s="14" t="n"/>
      <c r="D139" s="14" t="n"/>
      <c r="E139" s="14" t="n"/>
      <c r="F139" s="48" t="n"/>
      <c r="G139" s="50">
        <f>IF(A139="","",Settings!$B$4)</f>
        <v/>
      </c>
      <c r="H139" s="48">
        <f>IF(F139="","",IF(J139="Yes",ROUND(F139*G139,2),0))</f>
        <v/>
      </c>
      <c r="I139" s="48">
        <f>IF(F139="","",F139+ROUND(F139*G139,2))</f>
        <v/>
      </c>
      <c r="J139" s="14" t="n"/>
      <c r="K139" s="51">
        <f>IF(A139="","",DATE(YEAR(A139),MONTH(A139),1))</f>
        <v/>
      </c>
      <c r="L139" s="14" t="n"/>
      <c r="M139" s="52" t="n"/>
      <c r="N139" s="14" t="n"/>
    </row>
    <row r="140">
      <c r="A140" s="49" t="n"/>
      <c r="B140" s="14" t="n"/>
      <c r="C140" s="14" t="n"/>
      <c r="D140" s="14" t="n"/>
      <c r="E140" s="14" t="n"/>
      <c r="F140" s="48" t="n"/>
      <c r="G140" s="50">
        <f>IF(A140="","",Settings!$B$4)</f>
        <v/>
      </c>
      <c r="H140" s="48">
        <f>IF(F140="","",IF(J140="Yes",ROUND(F140*G140,2),0))</f>
        <v/>
      </c>
      <c r="I140" s="48">
        <f>IF(F140="","",F140+ROUND(F140*G140,2))</f>
        <v/>
      </c>
      <c r="J140" s="14" t="n"/>
      <c r="K140" s="51">
        <f>IF(A140="","",DATE(YEAR(A140),MONTH(A140),1))</f>
        <v/>
      </c>
      <c r="L140" s="14" t="n"/>
      <c r="M140" s="52" t="n"/>
      <c r="N140" s="14" t="n"/>
    </row>
    <row r="141">
      <c r="A141" s="49" t="n"/>
      <c r="B141" s="14" t="n"/>
      <c r="C141" s="14" t="n"/>
      <c r="D141" s="14" t="n"/>
      <c r="E141" s="14" t="n"/>
      <c r="F141" s="48" t="n"/>
      <c r="G141" s="50">
        <f>IF(A141="","",Settings!$B$4)</f>
        <v/>
      </c>
      <c r="H141" s="48">
        <f>IF(F141="","",IF(J141="Yes",ROUND(F141*G141,2),0))</f>
        <v/>
      </c>
      <c r="I141" s="48">
        <f>IF(F141="","",F141+ROUND(F141*G141,2))</f>
        <v/>
      </c>
      <c r="J141" s="14" t="n"/>
      <c r="K141" s="51">
        <f>IF(A141="","",DATE(YEAR(A141),MONTH(A141),1))</f>
        <v/>
      </c>
      <c r="L141" s="14" t="n"/>
      <c r="M141" s="52" t="n"/>
      <c r="N141" s="14" t="n"/>
    </row>
    <row r="142">
      <c r="A142" s="49" t="n"/>
      <c r="B142" s="14" t="n"/>
      <c r="C142" s="14" t="n"/>
      <c r="D142" s="14" t="n"/>
      <c r="E142" s="14" t="n"/>
      <c r="F142" s="48" t="n"/>
      <c r="G142" s="50">
        <f>IF(A142="","",Settings!$B$4)</f>
        <v/>
      </c>
      <c r="H142" s="48">
        <f>IF(F142="","",IF(J142="Yes",ROUND(F142*G142,2),0))</f>
        <v/>
      </c>
      <c r="I142" s="48">
        <f>IF(F142="","",F142+ROUND(F142*G142,2))</f>
        <v/>
      </c>
      <c r="J142" s="14" t="n"/>
      <c r="K142" s="51">
        <f>IF(A142="","",DATE(YEAR(A142),MONTH(A142),1))</f>
        <v/>
      </c>
      <c r="L142" s="14" t="n"/>
      <c r="M142" s="52" t="n"/>
      <c r="N142" s="14" t="n"/>
    </row>
    <row r="143">
      <c r="A143" s="49" t="n"/>
      <c r="B143" s="14" t="n"/>
      <c r="C143" s="14" t="n"/>
      <c r="D143" s="14" t="n"/>
      <c r="E143" s="14" t="n"/>
      <c r="F143" s="48" t="n"/>
      <c r="G143" s="50">
        <f>IF(A143="","",Settings!$B$4)</f>
        <v/>
      </c>
      <c r="H143" s="48">
        <f>IF(F143="","",IF(J143="Yes",ROUND(F143*G143,2),0))</f>
        <v/>
      </c>
      <c r="I143" s="48">
        <f>IF(F143="","",F143+ROUND(F143*G143,2))</f>
        <v/>
      </c>
      <c r="J143" s="14" t="n"/>
      <c r="K143" s="51">
        <f>IF(A143="","",DATE(YEAR(A143),MONTH(A143),1))</f>
        <v/>
      </c>
      <c r="L143" s="14" t="n"/>
      <c r="M143" s="52" t="n"/>
      <c r="N143" s="14" t="n"/>
    </row>
    <row r="144">
      <c r="A144" s="49" t="n"/>
      <c r="B144" s="14" t="n"/>
      <c r="C144" s="14" t="n"/>
      <c r="D144" s="14" t="n"/>
      <c r="E144" s="14" t="n"/>
      <c r="F144" s="48" t="n"/>
      <c r="G144" s="50">
        <f>IF(A144="","",Settings!$B$4)</f>
        <v/>
      </c>
      <c r="H144" s="48">
        <f>IF(F144="","",IF(J144="Yes",ROUND(F144*G144,2),0))</f>
        <v/>
      </c>
      <c r="I144" s="48">
        <f>IF(F144="","",F144+ROUND(F144*G144,2))</f>
        <v/>
      </c>
      <c r="J144" s="14" t="n"/>
      <c r="K144" s="51">
        <f>IF(A144="","",DATE(YEAR(A144),MONTH(A144),1))</f>
        <v/>
      </c>
      <c r="L144" s="14" t="n"/>
      <c r="M144" s="52" t="n"/>
      <c r="N144" s="14" t="n"/>
    </row>
    <row r="145">
      <c r="A145" s="49" t="n"/>
      <c r="B145" s="14" t="n"/>
      <c r="C145" s="14" t="n"/>
      <c r="D145" s="14" t="n"/>
      <c r="E145" s="14" t="n"/>
      <c r="F145" s="48" t="n"/>
      <c r="G145" s="50">
        <f>IF(A145="","",Settings!$B$4)</f>
        <v/>
      </c>
      <c r="H145" s="48">
        <f>IF(F145="","",IF(J145="Yes",ROUND(F145*G145,2),0))</f>
        <v/>
      </c>
      <c r="I145" s="48">
        <f>IF(F145="","",F145+ROUND(F145*G145,2))</f>
        <v/>
      </c>
      <c r="J145" s="14" t="n"/>
      <c r="K145" s="51">
        <f>IF(A145="","",DATE(YEAR(A145),MONTH(A145),1))</f>
        <v/>
      </c>
      <c r="L145" s="14" t="n"/>
      <c r="M145" s="52" t="n"/>
      <c r="N145" s="14" t="n"/>
    </row>
    <row r="146">
      <c r="A146" s="49" t="n"/>
      <c r="B146" s="14" t="n"/>
      <c r="C146" s="14" t="n"/>
      <c r="D146" s="14" t="n"/>
      <c r="E146" s="14" t="n"/>
      <c r="F146" s="48" t="n"/>
      <c r="G146" s="50">
        <f>IF(A146="","",Settings!$B$4)</f>
        <v/>
      </c>
      <c r="H146" s="48">
        <f>IF(F146="","",IF(J146="Yes",ROUND(F146*G146,2),0))</f>
        <v/>
      </c>
      <c r="I146" s="48">
        <f>IF(F146="","",F146+ROUND(F146*G146,2))</f>
        <v/>
      </c>
      <c r="J146" s="14" t="n"/>
      <c r="K146" s="51">
        <f>IF(A146="","",DATE(YEAR(A146),MONTH(A146),1))</f>
        <v/>
      </c>
      <c r="L146" s="14" t="n"/>
      <c r="M146" s="52" t="n"/>
      <c r="N146" s="14" t="n"/>
    </row>
    <row r="147">
      <c r="A147" s="49" t="n"/>
      <c r="B147" s="14" t="n"/>
      <c r="C147" s="14" t="n"/>
      <c r="D147" s="14" t="n"/>
      <c r="E147" s="14" t="n"/>
      <c r="F147" s="48" t="n"/>
      <c r="G147" s="50">
        <f>IF(A147="","",Settings!$B$4)</f>
        <v/>
      </c>
      <c r="H147" s="48">
        <f>IF(F147="","",IF(J147="Yes",ROUND(F147*G147,2),0))</f>
        <v/>
      </c>
      <c r="I147" s="48">
        <f>IF(F147="","",F147+ROUND(F147*G147,2))</f>
        <v/>
      </c>
      <c r="J147" s="14" t="n"/>
      <c r="K147" s="51">
        <f>IF(A147="","",DATE(YEAR(A147),MONTH(A147),1))</f>
        <v/>
      </c>
      <c r="L147" s="14" t="n"/>
      <c r="M147" s="52" t="n"/>
      <c r="N147" s="14" t="n"/>
    </row>
    <row r="148">
      <c r="A148" s="49" t="n"/>
      <c r="B148" s="14" t="n"/>
      <c r="C148" s="14" t="n"/>
      <c r="D148" s="14" t="n"/>
      <c r="E148" s="14" t="n"/>
      <c r="F148" s="48" t="n"/>
      <c r="G148" s="50">
        <f>IF(A148="","",Settings!$B$4)</f>
        <v/>
      </c>
      <c r="H148" s="48">
        <f>IF(F148="","",IF(J148="Yes",ROUND(F148*G148,2),0))</f>
        <v/>
      </c>
      <c r="I148" s="48">
        <f>IF(F148="","",F148+ROUND(F148*G148,2))</f>
        <v/>
      </c>
      <c r="J148" s="14" t="n"/>
      <c r="K148" s="51">
        <f>IF(A148="","",DATE(YEAR(A148),MONTH(A148),1))</f>
        <v/>
      </c>
      <c r="L148" s="14" t="n"/>
      <c r="M148" s="52" t="n"/>
      <c r="N148" s="14" t="n"/>
    </row>
    <row r="149">
      <c r="A149" s="49" t="n"/>
      <c r="B149" s="14" t="n"/>
      <c r="C149" s="14" t="n"/>
      <c r="D149" s="14" t="n"/>
      <c r="E149" s="14" t="n"/>
      <c r="F149" s="48" t="n"/>
      <c r="G149" s="50">
        <f>IF(A149="","",Settings!$B$4)</f>
        <v/>
      </c>
      <c r="H149" s="48">
        <f>IF(F149="","",IF(J149="Yes",ROUND(F149*G149,2),0))</f>
        <v/>
      </c>
      <c r="I149" s="48">
        <f>IF(F149="","",F149+ROUND(F149*G149,2))</f>
        <v/>
      </c>
      <c r="J149" s="14" t="n"/>
      <c r="K149" s="51">
        <f>IF(A149="","",DATE(YEAR(A149),MONTH(A149),1))</f>
        <v/>
      </c>
      <c r="L149" s="14" t="n"/>
      <c r="M149" s="52" t="n"/>
      <c r="N149" s="14" t="n"/>
    </row>
    <row r="150">
      <c r="A150" s="49" t="n"/>
      <c r="B150" s="14" t="n"/>
      <c r="C150" s="14" t="n"/>
      <c r="D150" s="14" t="n"/>
      <c r="E150" s="14" t="n"/>
      <c r="F150" s="48" t="n"/>
      <c r="G150" s="50">
        <f>IF(A150="","",Settings!$B$4)</f>
        <v/>
      </c>
      <c r="H150" s="48">
        <f>IF(F150="","",IF(J150="Yes",ROUND(F150*G150,2),0))</f>
        <v/>
      </c>
      <c r="I150" s="48">
        <f>IF(F150="","",F150+ROUND(F150*G150,2))</f>
        <v/>
      </c>
      <c r="J150" s="14" t="n"/>
      <c r="K150" s="51">
        <f>IF(A150="","",DATE(YEAR(A150),MONTH(A150),1))</f>
        <v/>
      </c>
      <c r="L150" s="14" t="n"/>
      <c r="M150" s="52" t="n"/>
      <c r="N150" s="14" t="n"/>
    </row>
    <row r="151">
      <c r="A151" s="49" t="n"/>
      <c r="B151" s="14" t="n"/>
      <c r="C151" s="14" t="n"/>
      <c r="D151" s="14" t="n"/>
      <c r="E151" s="14" t="n"/>
      <c r="F151" s="48" t="n"/>
      <c r="G151" s="50">
        <f>IF(A151="","",Settings!$B$4)</f>
        <v/>
      </c>
      <c r="H151" s="48">
        <f>IF(F151="","",IF(J151="Yes",ROUND(F151*G151,2),0))</f>
        <v/>
      </c>
      <c r="I151" s="48">
        <f>IF(F151="","",F151+ROUND(F151*G151,2))</f>
        <v/>
      </c>
      <c r="J151" s="14" t="n"/>
      <c r="K151" s="51">
        <f>IF(A151="","",DATE(YEAR(A151),MONTH(A151),1))</f>
        <v/>
      </c>
      <c r="L151" s="14" t="n"/>
      <c r="M151" s="52" t="n"/>
      <c r="N151" s="14" t="n"/>
    </row>
    <row r="152">
      <c r="A152" s="49" t="n"/>
      <c r="B152" s="14" t="n"/>
      <c r="C152" s="14" t="n"/>
      <c r="D152" s="14" t="n"/>
      <c r="E152" s="14" t="n"/>
      <c r="F152" s="48" t="n"/>
      <c r="G152" s="50">
        <f>IF(A152="","",Settings!$B$4)</f>
        <v/>
      </c>
      <c r="H152" s="48">
        <f>IF(F152="","",IF(J152="Yes",ROUND(F152*G152,2),0))</f>
        <v/>
      </c>
      <c r="I152" s="48">
        <f>IF(F152="","",F152+ROUND(F152*G152,2))</f>
        <v/>
      </c>
      <c r="J152" s="14" t="n"/>
      <c r="K152" s="51">
        <f>IF(A152="","",DATE(YEAR(A152),MONTH(A152),1))</f>
        <v/>
      </c>
      <c r="L152" s="14" t="n"/>
      <c r="M152" s="52" t="n"/>
      <c r="N152" s="14" t="n"/>
    </row>
    <row r="153">
      <c r="A153" s="49" t="n"/>
      <c r="B153" s="14" t="n"/>
      <c r="C153" s="14" t="n"/>
      <c r="D153" s="14" t="n"/>
      <c r="E153" s="14" t="n"/>
      <c r="F153" s="48" t="n"/>
      <c r="G153" s="50">
        <f>IF(A153="","",Settings!$B$4)</f>
        <v/>
      </c>
      <c r="H153" s="48">
        <f>IF(F153="","",IF(J153="Yes",ROUND(F153*G153,2),0))</f>
        <v/>
      </c>
      <c r="I153" s="48">
        <f>IF(F153="","",F153+ROUND(F153*G153,2))</f>
        <v/>
      </c>
      <c r="J153" s="14" t="n"/>
      <c r="K153" s="51">
        <f>IF(A153="","",DATE(YEAR(A153),MONTH(A153),1))</f>
        <v/>
      </c>
      <c r="L153" s="14" t="n"/>
      <c r="M153" s="52" t="n"/>
      <c r="N153" s="14" t="n"/>
    </row>
    <row r="154">
      <c r="A154" s="49" t="n"/>
      <c r="B154" s="14" t="n"/>
      <c r="C154" s="14" t="n"/>
      <c r="D154" s="14" t="n"/>
      <c r="E154" s="14" t="n"/>
      <c r="F154" s="48" t="n"/>
      <c r="G154" s="50">
        <f>IF(A154="","",Settings!$B$4)</f>
        <v/>
      </c>
      <c r="H154" s="48">
        <f>IF(F154="","",IF(J154="Yes",ROUND(F154*G154,2),0))</f>
        <v/>
      </c>
      <c r="I154" s="48">
        <f>IF(F154="","",F154+ROUND(F154*G154,2))</f>
        <v/>
      </c>
      <c r="J154" s="14" t="n"/>
      <c r="K154" s="51">
        <f>IF(A154="","",DATE(YEAR(A154),MONTH(A154),1))</f>
        <v/>
      </c>
      <c r="L154" s="14" t="n"/>
      <c r="M154" s="52" t="n"/>
      <c r="N154" s="14" t="n"/>
    </row>
    <row r="155">
      <c r="A155" s="49" t="n"/>
      <c r="B155" s="14" t="n"/>
      <c r="C155" s="14" t="n"/>
      <c r="D155" s="14" t="n"/>
      <c r="E155" s="14" t="n"/>
      <c r="F155" s="48" t="n"/>
      <c r="G155" s="50">
        <f>IF(A155="","",Settings!$B$4)</f>
        <v/>
      </c>
      <c r="H155" s="48">
        <f>IF(F155="","",IF(J155="Yes",ROUND(F155*G155,2),0))</f>
        <v/>
      </c>
      <c r="I155" s="48">
        <f>IF(F155="","",F155+ROUND(F155*G155,2))</f>
        <v/>
      </c>
      <c r="J155" s="14" t="n"/>
      <c r="K155" s="51">
        <f>IF(A155="","",DATE(YEAR(A155),MONTH(A155),1))</f>
        <v/>
      </c>
      <c r="L155" s="14" t="n"/>
      <c r="M155" s="52" t="n"/>
      <c r="N155" s="14" t="n"/>
    </row>
    <row r="156">
      <c r="A156" s="49" t="n"/>
      <c r="B156" s="14" t="n"/>
      <c r="C156" s="14" t="n"/>
      <c r="D156" s="14" t="n"/>
      <c r="E156" s="14" t="n"/>
      <c r="F156" s="48" t="n"/>
      <c r="G156" s="50">
        <f>IF(A156="","",Settings!$B$4)</f>
        <v/>
      </c>
      <c r="H156" s="48">
        <f>IF(F156="","",IF(J156="Yes",ROUND(F156*G156,2),0))</f>
        <v/>
      </c>
      <c r="I156" s="48">
        <f>IF(F156="","",F156+ROUND(F156*G156,2))</f>
        <v/>
      </c>
      <c r="J156" s="14" t="n"/>
      <c r="K156" s="51">
        <f>IF(A156="","",DATE(YEAR(A156),MONTH(A156),1))</f>
        <v/>
      </c>
      <c r="L156" s="14" t="n"/>
      <c r="M156" s="52" t="n"/>
      <c r="N156" s="14" t="n"/>
    </row>
    <row r="157">
      <c r="A157" s="49" t="n"/>
      <c r="B157" s="14" t="n"/>
      <c r="C157" s="14" t="n"/>
      <c r="D157" s="14" t="n"/>
      <c r="E157" s="14" t="n"/>
      <c r="F157" s="48" t="n"/>
      <c r="G157" s="50">
        <f>IF(A157="","",Settings!$B$4)</f>
        <v/>
      </c>
      <c r="H157" s="48">
        <f>IF(F157="","",IF(J157="Yes",ROUND(F157*G157,2),0))</f>
        <v/>
      </c>
      <c r="I157" s="48">
        <f>IF(F157="","",F157+ROUND(F157*G157,2))</f>
        <v/>
      </c>
      <c r="J157" s="14" t="n"/>
      <c r="K157" s="51">
        <f>IF(A157="","",DATE(YEAR(A157),MONTH(A157),1))</f>
        <v/>
      </c>
      <c r="L157" s="14" t="n"/>
      <c r="M157" s="52" t="n"/>
      <c r="N157" s="14" t="n"/>
    </row>
    <row r="158">
      <c r="A158" s="49" t="n"/>
      <c r="B158" s="14" t="n"/>
      <c r="C158" s="14" t="n"/>
      <c r="D158" s="14" t="n"/>
      <c r="E158" s="14" t="n"/>
      <c r="F158" s="48" t="n"/>
      <c r="G158" s="50">
        <f>IF(A158="","",Settings!$B$4)</f>
        <v/>
      </c>
      <c r="H158" s="48">
        <f>IF(F158="","",IF(J158="Yes",ROUND(F158*G158,2),0))</f>
        <v/>
      </c>
      <c r="I158" s="48">
        <f>IF(F158="","",F158+ROUND(F158*G158,2))</f>
        <v/>
      </c>
      <c r="J158" s="14" t="n"/>
      <c r="K158" s="51">
        <f>IF(A158="","",DATE(YEAR(A158),MONTH(A158),1))</f>
        <v/>
      </c>
      <c r="L158" s="14" t="n"/>
      <c r="M158" s="52" t="n"/>
      <c r="N158" s="14" t="n"/>
    </row>
    <row r="159">
      <c r="A159" s="49" t="n"/>
      <c r="B159" s="14" t="n"/>
      <c r="C159" s="14" t="n"/>
      <c r="D159" s="14" t="n"/>
      <c r="E159" s="14" t="n"/>
      <c r="F159" s="48" t="n"/>
      <c r="G159" s="50">
        <f>IF(A159="","",Settings!$B$4)</f>
        <v/>
      </c>
      <c r="H159" s="48">
        <f>IF(F159="","",IF(J159="Yes",ROUND(F159*G159,2),0))</f>
        <v/>
      </c>
      <c r="I159" s="48">
        <f>IF(F159="","",F159+ROUND(F159*G159,2))</f>
        <v/>
      </c>
      <c r="J159" s="14" t="n"/>
      <c r="K159" s="51">
        <f>IF(A159="","",DATE(YEAR(A159),MONTH(A159),1))</f>
        <v/>
      </c>
      <c r="L159" s="14" t="n"/>
      <c r="M159" s="52" t="n"/>
      <c r="N159" s="14" t="n"/>
    </row>
    <row r="160">
      <c r="A160" s="49" t="n"/>
      <c r="B160" s="14" t="n"/>
      <c r="C160" s="14" t="n"/>
      <c r="D160" s="14" t="n"/>
      <c r="E160" s="14" t="n"/>
      <c r="F160" s="48" t="n"/>
      <c r="G160" s="50">
        <f>IF(A160="","",Settings!$B$4)</f>
        <v/>
      </c>
      <c r="H160" s="48">
        <f>IF(F160="","",IF(J160="Yes",ROUND(F160*G160,2),0))</f>
        <v/>
      </c>
      <c r="I160" s="48">
        <f>IF(F160="","",F160+ROUND(F160*G160,2))</f>
        <v/>
      </c>
      <c r="J160" s="14" t="n"/>
      <c r="K160" s="51">
        <f>IF(A160="","",DATE(YEAR(A160),MONTH(A160),1))</f>
        <v/>
      </c>
      <c r="L160" s="14" t="n"/>
      <c r="M160" s="52" t="n"/>
      <c r="N160" s="14" t="n"/>
    </row>
    <row r="161">
      <c r="A161" s="49" t="n"/>
      <c r="B161" s="14" t="n"/>
      <c r="C161" s="14" t="n"/>
      <c r="D161" s="14" t="n"/>
      <c r="E161" s="14" t="n"/>
      <c r="F161" s="48" t="n"/>
      <c r="G161" s="50">
        <f>IF(A161="","",Settings!$B$4)</f>
        <v/>
      </c>
      <c r="H161" s="48">
        <f>IF(F161="","",IF(J161="Yes",ROUND(F161*G161,2),0))</f>
        <v/>
      </c>
      <c r="I161" s="48">
        <f>IF(F161="","",F161+ROUND(F161*G161,2))</f>
        <v/>
      </c>
      <c r="J161" s="14" t="n"/>
      <c r="K161" s="51">
        <f>IF(A161="","",DATE(YEAR(A161),MONTH(A161),1))</f>
        <v/>
      </c>
      <c r="L161" s="14" t="n"/>
      <c r="M161" s="52" t="n"/>
      <c r="N161" s="14" t="n"/>
    </row>
    <row r="162">
      <c r="A162" s="49" t="n"/>
      <c r="B162" s="14" t="n"/>
      <c r="C162" s="14" t="n"/>
      <c r="D162" s="14" t="n"/>
      <c r="E162" s="14" t="n"/>
      <c r="F162" s="48" t="n"/>
      <c r="G162" s="50">
        <f>IF(A162="","",Settings!$B$4)</f>
        <v/>
      </c>
      <c r="H162" s="48">
        <f>IF(F162="","",IF(J162="Yes",ROUND(F162*G162,2),0))</f>
        <v/>
      </c>
      <c r="I162" s="48">
        <f>IF(F162="","",F162+ROUND(F162*G162,2))</f>
        <v/>
      </c>
      <c r="J162" s="14" t="n"/>
      <c r="K162" s="51">
        <f>IF(A162="","",DATE(YEAR(A162),MONTH(A162),1))</f>
        <v/>
      </c>
      <c r="L162" s="14" t="n"/>
      <c r="M162" s="52" t="n"/>
      <c r="N162" s="14" t="n"/>
    </row>
    <row r="163">
      <c r="A163" s="49" t="n"/>
      <c r="B163" s="14" t="n"/>
      <c r="C163" s="14" t="n"/>
      <c r="D163" s="14" t="n"/>
      <c r="E163" s="14" t="n"/>
      <c r="F163" s="48" t="n"/>
      <c r="G163" s="50">
        <f>IF(A163="","",Settings!$B$4)</f>
        <v/>
      </c>
      <c r="H163" s="48">
        <f>IF(F163="","",IF(J163="Yes",ROUND(F163*G163,2),0))</f>
        <v/>
      </c>
      <c r="I163" s="48">
        <f>IF(F163="","",F163+ROUND(F163*G163,2))</f>
        <v/>
      </c>
      <c r="J163" s="14" t="n"/>
      <c r="K163" s="51">
        <f>IF(A163="","",DATE(YEAR(A163),MONTH(A163),1))</f>
        <v/>
      </c>
      <c r="L163" s="14" t="n"/>
      <c r="M163" s="52" t="n"/>
      <c r="N163" s="14" t="n"/>
    </row>
    <row r="164">
      <c r="A164" s="49" t="n"/>
      <c r="B164" s="14" t="n"/>
      <c r="C164" s="14" t="n"/>
      <c r="D164" s="14" t="n"/>
      <c r="E164" s="14" t="n"/>
      <c r="F164" s="48" t="n"/>
      <c r="G164" s="50">
        <f>IF(A164="","",Settings!$B$4)</f>
        <v/>
      </c>
      <c r="H164" s="48">
        <f>IF(F164="","",IF(J164="Yes",ROUND(F164*G164,2),0))</f>
        <v/>
      </c>
      <c r="I164" s="48">
        <f>IF(F164="","",F164+ROUND(F164*G164,2))</f>
        <v/>
      </c>
      <c r="J164" s="14" t="n"/>
      <c r="K164" s="51">
        <f>IF(A164="","",DATE(YEAR(A164),MONTH(A164),1))</f>
        <v/>
      </c>
      <c r="L164" s="14" t="n"/>
      <c r="M164" s="52" t="n"/>
      <c r="N164" s="14" t="n"/>
    </row>
    <row r="165">
      <c r="A165" s="49" t="n"/>
      <c r="B165" s="14" t="n"/>
      <c r="C165" s="14" t="n"/>
      <c r="D165" s="14" t="n"/>
      <c r="E165" s="14" t="n"/>
      <c r="F165" s="48" t="n"/>
      <c r="G165" s="50">
        <f>IF(A165="","",Settings!$B$4)</f>
        <v/>
      </c>
      <c r="H165" s="48">
        <f>IF(F165="","",IF(J165="Yes",ROUND(F165*G165,2),0))</f>
        <v/>
      </c>
      <c r="I165" s="48">
        <f>IF(F165="","",F165+ROUND(F165*G165,2))</f>
        <v/>
      </c>
      <c r="J165" s="14" t="n"/>
      <c r="K165" s="51">
        <f>IF(A165="","",DATE(YEAR(A165),MONTH(A165),1))</f>
        <v/>
      </c>
      <c r="L165" s="14" t="n"/>
      <c r="M165" s="52" t="n"/>
      <c r="N165" s="14" t="n"/>
    </row>
    <row r="166">
      <c r="A166" s="49" t="n"/>
      <c r="B166" s="14" t="n"/>
      <c r="C166" s="14" t="n"/>
      <c r="D166" s="14" t="n"/>
      <c r="E166" s="14" t="n"/>
      <c r="F166" s="48" t="n"/>
      <c r="G166" s="50">
        <f>IF(A166="","",Settings!$B$4)</f>
        <v/>
      </c>
      <c r="H166" s="48">
        <f>IF(F166="","",IF(J166="Yes",ROUND(F166*G166,2),0))</f>
        <v/>
      </c>
      <c r="I166" s="48">
        <f>IF(F166="","",F166+ROUND(F166*G166,2))</f>
        <v/>
      </c>
      <c r="J166" s="14" t="n"/>
      <c r="K166" s="51">
        <f>IF(A166="","",DATE(YEAR(A166),MONTH(A166),1))</f>
        <v/>
      </c>
      <c r="L166" s="14" t="n"/>
      <c r="M166" s="52" t="n"/>
      <c r="N166" s="14" t="n"/>
    </row>
    <row r="167">
      <c r="A167" s="49" t="n"/>
      <c r="B167" s="14" t="n"/>
      <c r="C167" s="14" t="n"/>
      <c r="D167" s="14" t="n"/>
      <c r="E167" s="14" t="n"/>
      <c r="F167" s="48" t="n"/>
      <c r="G167" s="50">
        <f>IF(A167="","",Settings!$B$4)</f>
        <v/>
      </c>
      <c r="H167" s="48">
        <f>IF(F167="","",IF(J167="Yes",ROUND(F167*G167,2),0))</f>
        <v/>
      </c>
      <c r="I167" s="48">
        <f>IF(F167="","",F167+ROUND(F167*G167,2))</f>
        <v/>
      </c>
      <c r="J167" s="14" t="n"/>
      <c r="K167" s="51">
        <f>IF(A167="","",DATE(YEAR(A167),MONTH(A167),1))</f>
        <v/>
      </c>
      <c r="L167" s="14" t="n"/>
      <c r="M167" s="52" t="n"/>
      <c r="N167" s="14" t="n"/>
    </row>
    <row r="168">
      <c r="A168" s="49" t="n"/>
      <c r="B168" s="14" t="n"/>
      <c r="C168" s="14" t="n"/>
      <c r="D168" s="14" t="n"/>
      <c r="E168" s="14" t="n"/>
      <c r="F168" s="48" t="n"/>
      <c r="G168" s="50">
        <f>IF(A168="","",Settings!$B$4)</f>
        <v/>
      </c>
      <c r="H168" s="48">
        <f>IF(F168="","",IF(J168="Yes",ROUND(F168*G168,2),0))</f>
        <v/>
      </c>
      <c r="I168" s="48">
        <f>IF(F168="","",F168+ROUND(F168*G168,2))</f>
        <v/>
      </c>
      <c r="J168" s="14" t="n"/>
      <c r="K168" s="51">
        <f>IF(A168="","",DATE(YEAR(A168),MONTH(A168),1))</f>
        <v/>
      </c>
      <c r="L168" s="14" t="n"/>
      <c r="M168" s="52" t="n"/>
      <c r="N168" s="14" t="n"/>
    </row>
    <row r="169">
      <c r="A169" s="49" t="n"/>
      <c r="B169" s="14" t="n"/>
      <c r="C169" s="14" t="n"/>
      <c r="D169" s="14" t="n"/>
      <c r="E169" s="14" t="n"/>
      <c r="F169" s="48" t="n"/>
      <c r="G169" s="50">
        <f>IF(A169="","",Settings!$B$4)</f>
        <v/>
      </c>
      <c r="H169" s="48">
        <f>IF(F169="","",IF(J169="Yes",ROUND(F169*G169,2),0))</f>
        <v/>
      </c>
      <c r="I169" s="48">
        <f>IF(F169="","",F169+ROUND(F169*G169,2))</f>
        <v/>
      </c>
      <c r="J169" s="14" t="n"/>
      <c r="K169" s="51">
        <f>IF(A169="","",DATE(YEAR(A169),MONTH(A169),1))</f>
        <v/>
      </c>
      <c r="L169" s="14" t="n"/>
      <c r="M169" s="52" t="n"/>
      <c r="N169" s="14" t="n"/>
    </row>
    <row r="170">
      <c r="A170" s="49" t="n"/>
      <c r="B170" s="14" t="n"/>
      <c r="C170" s="14" t="n"/>
      <c r="D170" s="14" t="n"/>
      <c r="E170" s="14" t="n"/>
      <c r="F170" s="48" t="n"/>
      <c r="G170" s="50">
        <f>IF(A170="","",Settings!$B$4)</f>
        <v/>
      </c>
      <c r="H170" s="48">
        <f>IF(F170="","",IF(J170="Yes",ROUND(F170*G170,2),0))</f>
        <v/>
      </c>
      <c r="I170" s="48">
        <f>IF(F170="","",F170+ROUND(F170*G170,2))</f>
        <v/>
      </c>
      <c r="J170" s="14" t="n"/>
      <c r="K170" s="51">
        <f>IF(A170="","",DATE(YEAR(A170),MONTH(A170),1))</f>
        <v/>
      </c>
      <c r="L170" s="14" t="n"/>
      <c r="M170" s="52" t="n"/>
      <c r="N170" s="14" t="n"/>
    </row>
    <row r="171">
      <c r="A171" s="49" t="n"/>
      <c r="B171" s="14" t="n"/>
      <c r="C171" s="14" t="n"/>
      <c r="D171" s="14" t="n"/>
      <c r="E171" s="14" t="n"/>
      <c r="F171" s="48" t="n"/>
      <c r="G171" s="50">
        <f>IF(A171="","",Settings!$B$4)</f>
        <v/>
      </c>
      <c r="H171" s="48">
        <f>IF(F171="","",IF(J171="Yes",ROUND(F171*G171,2),0))</f>
        <v/>
      </c>
      <c r="I171" s="48">
        <f>IF(F171="","",F171+ROUND(F171*G171,2))</f>
        <v/>
      </c>
      <c r="J171" s="14" t="n"/>
      <c r="K171" s="51">
        <f>IF(A171="","",DATE(YEAR(A171),MONTH(A171),1))</f>
        <v/>
      </c>
      <c r="L171" s="14" t="n"/>
      <c r="M171" s="52" t="n"/>
      <c r="N171" s="14" t="n"/>
    </row>
    <row r="172">
      <c r="A172" s="49" t="n"/>
      <c r="B172" s="14" t="n"/>
      <c r="C172" s="14" t="n"/>
      <c r="D172" s="14" t="n"/>
      <c r="E172" s="14" t="n"/>
      <c r="F172" s="48" t="n"/>
      <c r="G172" s="50">
        <f>IF(A172="","",Settings!$B$4)</f>
        <v/>
      </c>
      <c r="H172" s="48">
        <f>IF(F172="","",IF(J172="Yes",ROUND(F172*G172,2),0))</f>
        <v/>
      </c>
      <c r="I172" s="48">
        <f>IF(F172="","",F172+ROUND(F172*G172,2))</f>
        <v/>
      </c>
      <c r="J172" s="14" t="n"/>
      <c r="K172" s="51">
        <f>IF(A172="","",DATE(YEAR(A172),MONTH(A172),1))</f>
        <v/>
      </c>
      <c r="L172" s="14" t="n"/>
      <c r="M172" s="52" t="n"/>
      <c r="N172" s="14" t="n"/>
    </row>
    <row r="173">
      <c r="A173" s="49" t="n"/>
      <c r="B173" s="14" t="n"/>
      <c r="C173" s="14" t="n"/>
      <c r="D173" s="14" t="n"/>
      <c r="E173" s="14" t="n"/>
      <c r="F173" s="48" t="n"/>
      <c r="G173" s="50">
        <f>IF(A173="","",Settings!$B$4)</f>
        <v/>
      </c>
      <c r="H173" s="48">
        <f>IF(F173="","",IF(J173="Yes",ROUND(F173*G173,2),0))</f>
        <v/>
      </c>
      <c r="I173" s="48">
        <f>IF(F173="","",F173+ROUND(F173*G173,2))</f>
        <v/>
      </c>
      <c r="J173" s="14" t="n"/>
      <c r="K173" s="51">
        <f>IF(A173="","",DATE(YEAR(A173),MONTH(A173),1))</f>
        <v/>
      </c>
      <c r="L173" s="14" t="n"/>
      <c r="M173" s="52" t="n"/>
      <c r="N173" s="14" t="n"/>
    </row>
    <row r="174">
      <c r="A174" s="49" t="n"/>
      <c r="B174" s="14" t="n"/>
      <c r="C174" s="14" t="n"/>
      <c r="D174" s="14" t="n"/>
      <c r="E174" s="14" t="n"/>
      <c r="F174" s="48" t="n"/>
      <c r="G174" s="50">
        <f>IF(A174="","",Settings!$B$4)</f>
        <v/>
      </c>
      <c r="H174" s="48">
        <f>IF(F174="","",IF(J174="Yes",ROUND(F174*G174,2),0))</f>
        <v/>
      </c>
      <c r="I174" s="48">
        <f>IF(F174="","",F174+ROUND(F174*G174,2))</f>
        <v/>
      </c>
      <c r="J174" s="14" t="n"/>
      <c r="K174" s="51">
        <f>IF(A174="","",DATE(YEAR(A174),MONTH(A174),1))</f>
        <v/>
      </c>
      <c r="L174" s="14" t="n"/>
      <c r="M174" s="52" t="n"/>
      <c r="N174" s="14" t="n"/>
    </row>
    <row r="175">
      <c r="A175" s="49" t="n"/>
      <c r="B175" s="14" t="n"/>
      <c r="C175" s="14" t="n"/>
      <c r="D175" s="14" t="n"/>
      <c r="E175" s="14" t="n"/>
      <c r="F175" s="48" t="n"/>
      <c r="G175" s="50">
        <f>IF(A175="","",Settings!$B$4)</f>
        <v/>
      </c>
      <c r="H175" s="48">
        <f>IF(F175="","",IF(J175="Yes",ROUND(F175*G175,2),0))</f>
        <v/>
      </c>
      <c r="I175" s="48">
        <f>IF(F175="","",F175+ROUND(F175*G175,2))</f>
        <v/>
      </c>
      <c r="J175" s="14" t="n"/>
      <c r="K175" s="51">
        <f>IF(A175="","",DATE(YEAR(A175),MONTH(A175),1))</f>
        <v/>
      </c>
      <c r="L175" s="14" t="n"/>
      <c r="M175" s="52" t="n"/>
      <c r="N175" s="14" t="n"/>
    </row>
    <row r="176">
      <c r="A176" s="49" t="n"/>
      <c r="B176" s="14" t="n"/>
      <c r="C176" s="14" t="n"/>
      <c r="D176" s="14" t="n"/>
      <c r="E176" s="14" t="n"/>
      <c r="F176" s="48" t="n"/>
      <c r="G176" s="50">
        <f>IF(A176="","",Settings!$B$4)</f>
        <v/>
      </c>
      <c r="H176" s="48">
        <f>IF(F176="","",IF(J176="Yes",ROUND(F176*G176,2),0))</f>
        <v/>
      </c>
      <c r="I176" s="48">
        <f>IF(F176="","",F176+ROUND(F176*G176,2))</f>
        <v/>
      </c>
      <c r="J176" s="14" t="n"/>
      <c r="K176" s="51">
        <f>IF(A176="","",DATE(YEAR(A176),MONTH(A176),1))</f>
        <v/>
      </c>
      <c r="L176" s="14" t="n"/>
      <c r="M176" s="52" t="n"/>
      <c r="N176" s="14" t="n"/>
    </row>
    <row r="177">
      <c r="A177" s="49" t="n"/>
      <c r="B177" s="14" t="n"/>
      <c r="C177" s="14" t="n"/>
      <c r="D177" s="14" t="n"/>
      <c r="E177" s="14" t="n"/>
      <c r="F177" s="48" t="n"/>
      <c r="G177" s="50">
        <f>IF(A177="","",Settings!$B$4)</f>
        <v/>
      </c>
      <c r="H177" s="48">
        <f>IF(F177="","",IF(J177="Yes",ROUND(F177*G177,2),0))</f>
        <v/>
      </c>
      <c r="I177" s="48">
        <f>IF(F177="","",F177+ROUND(F177*G177,2))</f>
        <v/>
      </c>
      <c r="J177" s="14" t="n"/>
      <c r="K177" s="51">
        <f>IF(A177="","",DATE(YEAR(A177),MONTH(A177),1))</f>
        <v/>
      </c>
      <c r="L177" s="14" t="n"/>
      <c r="M177" s="52" t="n"/>
      <c r="N177" s="14" t="n"/>
    </row>
    <row r="178">
      <c r="A178" s="49" t="n"/>
      <c r="B178" s="14" t="n"/>
      <c r="C178" s="14" t="n"/>
      <c r="D178" s="14" t="n"/>
      <c r="E178" s="14" t="n"/>
      <c r="F178" s="48" t="n"/>
      <c r="G178" s="50">
        <f>IF(A178="","",Settings!$B$4)</f>
        <v/>
      </c>
      <c r="H178" s="48">
        <f>IF(F178="","",IF(J178="Yes",ROUND(F178*G178,2),0))</f>
        <v/>
      </c>
      <c r="I178" s="48">
        <f>IF(F178="","",F178+ROUND(F178*G178,2))</f>
        <v/>
      </c>
      <c r="J178" s="14" t="n"/>
      <c r="K178" s="51">
        <f>IF(A178="","",DATE(YEAR(A178),MONTH(A178),1))</f>
        <v/>
      </c>
      <c r="L178" s="14" t="n"/>
      <c r="M178" s="52" t="n"/>
      <c r="N178" s="14" t="n"/>
    </row>
    <row r="179">
      <c r="A179" s="49" t="n"/>
      <c r="B179" s="14" t="n"/>
      <c r="C179" s="14" t="n"/>
      <c r="D179" s="14" t="n"/>
      <c r="E179" s="14" t="n"/>
      <c r="F179" s="48" t="n"/>
      <c r="G179" s="50">
        <f>IF(A179="","",Settings!$B$4)</f>
        <v/>
      </c>
      <c r="H179" s="48">
        <f>IF(F179="","",IF(J179="Yes",ROUND(F179*G179,2),0))</f>
        <v/>
      </c>
      <c r="I179" s="48">
        <f>IF(F179="","",F179+ROUND(F179*G179,2))</f>
        <v/>
      </c>
      <c r="J179" s="14" t="n"/>
      <c r="K179" s="51">
        <f>IF(A179="","",DATE(YEAR(A179),MONTH(A179),1))</f>
        <v/>
      </c>
      <c r="L179" s="14" t="n"/>
      <c r="M179" s="52" t="n"/>
      <c r="N179" s="14" t="n"/>
    </row>
    <row r="180">
      <c r="A180" s="49" t="n"/>
      <c r="B180" s="14" t="n"/>
      <c r="C180" s="14" t="n"/>
      <c r="D180" s="14" t="n"/>
      <c r="E180" s="14" t="n"/>
      <c r="F180" s="48" t="n"/>
      <c r="G180" s="50">
        <f>IF(A180="","",Settings!$B$4)</f>
        <v/>
      </c>
      <c r="H180" s="48">
        <f>IF(F180="","",IF(J180="Yes",ROUND(F180*G180,2),0))</f>
        <v/>
      </c>
      <c r="I180" s="48">
        <f>IF(F180="","",F180+ROUND(F180*G180,2))</f>
        <v/>
      </c>
      <c r="J180" s="14" t="n"/>
      <c r="K180" s="51">
        <f>IF(A180="","",DATE(YEAR(A180),MONTH(A180),1))</f>
        <v/>
      </c>
      <c r="L180" s="14" t="n"/>
      <c r="M180" s="52" t="n"/>
      <c r="N180" s="14" t="n"/>
    </row>
    <row r="181">
      <c r="A181" s="49" t="n"/>
      <c r="B181" s="14" t="n"/>
      <c r="C181" s="14" t="n"/>
      <c r="D181" s="14" t="n"/>
      <c r="E181" s="14" t="n"/>
      <c r="F181" s="48" t="n"/>
      <c r="G181" s="50">
        <f>IF(A181="","",Settings!$B$4)</f>
        <v/>
      </c>
      <c r="H181" s="48">
        <f>IF(F181="","",IF(J181="Yes",ROUND(F181*G181,2),0))</f>
        <v/>
      </c>
      <c r="I181" s="48">
        <f>IF(F181="","",F181+ROUND(F181*G181,2))</f>
        <v/>
      </c>
      <c r="J181" s="14" t="n"/>
      <c r="K181" s="51">
        <f>IF(A181="","",DATE(YEAR(A181),MONTH(A181),1))</f>
        <v/>
      </c>
      <c r="L181" s="14" t="n"/>
      <c r="M181" s="52" t="n"/>
      <c r="N181" s="14" t="n"/>
    </row>
    <row r="182">
      <c r="A182" s="49" t="n"/>
      <c r="B182" s="14" t="n"/>
      <c r="C182" s="14" t="n"/>
      <c r="D182" s="14" t="n"/>
      <c r="E182" s="14" t="n"/>
      <c r="F182" s="48" t="n"/>
      <c r="G182" s="50">
        <f>IF(A182="","",Settings!$B$4)</f>
        <v/>
      </c>
      <c r="H182" s="48">
        <f>IF(F182="","",IF(J182="Yes",ROUND(F182*G182,2),0))</f>
        <v/>
      </c>
      <c r="I182" s="48">
        <f>IF(F182="","",F182+ROUND(F182*G182,2))</f>
        <v/>
      </c>
      <c r="J182" s="14" t="n"/>
      <c r="K182" s="51">
        <f>IF(A182="","",DATE(YEAR(A182),MONTH(A182),1))</f>
        <v/>
      </c>
      <c r="L182" s="14" t="n"/>
      <c r="M182" s="52" t="n"/>
      <c r="N182" s="14" t="n"/>
    </row>
    <row r="183">
      <c r="A183" s="49" t="n"/>
      <c r="B183" s="14" t="n"/>
      <c r="C183" s="14" t="n"/>
      <c r="D183" s="14" t="n"/>
      <c r="E183" s="14" t="n"/>
      <c r="F183" s="48" t="n"/>
      <c r="G183" s="50">
        <f>IF(A183="","",Settings!$B$4)</f>
        <v/>
      </c>
      <c r="H183" s="48">
        <f>IF(F183="","",IF(J183="Yes",ROUND(F183*G183,2),0))</f>
        <v/>
      </c>
      <c r="I183" s="48">
        <f>IF(F183="","",F183+ROUND(F183*G183,2))</f>
        <v/>
      </c>
      <c r="J183" s="14" t="n"/>
      <c r="K183" s="51">
        <f>IF(A183="","",DATE(YEAR(A183),MONTH(A183),1))</f>
        <v/>
      </c>
      <c r="L183" s="14" t="n"/>
      <c r="M183" s="52" t="n"/>
      <c r="N183" s="14" t="n"/>
    </row>
    <row r="184">
      <c r="A184" s="49" t="n"/>
      <c r="B184" s="14" t="n"/>
      <c r="C184" s="14" t="n"/>
      <c r="D184" s="14" t="n"/>
      <c r="E184" s="14" t="n"/>
      <c r="F184" s="48" t="n"/>
      <c r="G184" s="50">
        <f>IF(A184="","",Settings!$B$4)</f>
        <v/>
      </c>
      <c r="H184" s="48">
        <f>IF(F184="","",IF(J184="Yes",ROUND(F184*G184,2),0))</f>
        <v/>
      </c>
      <c r="I184" s="48">
        <f>IF(F184="","",F184+ROUND(F184*G184,2))</f>
        <v/>
      </c>
      <c r="J184" s="14" t="n"/>
      <c r="K184" s="51">
        <f>IF(A184="","",DATE(YEAR(A184),MONTH(A184),1))</f>
        <v/>
      </c>
      <c r="L184" s="14" t="n"/>
      <c r="M184" s="52" t="n"/>
      <c r="N184" s="14" t="n"/>
    </row>
    <row r="185">
      <c r="A185" s="49" t="n"/>
      <c r="B185" s="14" t="n"/>
      <c r="C185" s="14" t="n"/>
      <c r="D185" s="14" t="n"/>
      <c r="E185" s="14" t="n"/>
      <c r="F185" s="48" t="n"/>
      <c r="G185" s="50">
        <f>IF(A185="","",Settings!$B$4)</f>
        <v/>
      </c>
      <c r="H185" s="48">
        <f>IF(F185="","",IF(J185="Yes",ROUND(F185*G185,2),0))</f>
        <v/>
      </c>
      <c r="I185" s="48">
        <f>IF(F185="","",F185+ROUND(F185*G185,2))</f>
        <v/>
      </c>
      <c r="J185" s="14" t="n"/>
      <c r="K185" s="51">
        <f>IF(A185="","",DATE(YEAR(A185),MONTH(A185),1))</f>
        <v/>
      </c>
      <c r="L185" s="14" t="n"/>
      <c r="M185" s="52" t="n"/>
      <c r="N185" s="14" t="n"/>
    </row>
    <row r="186">
      <c r="A186" s="49" t="n"/>
      <c r="B186" s="14" t="n"/>
      <c r="C186" s="14" t="n"/>
      <c r="D186" s="14" t="n"/>
      <c r="E186" s="14" t="n"/>
      <c r="F186" s="48" t="n"/>
      <c r="G186" s="50">
        <f>IF(A186="","",Settings!$B$4)</f>
        <v/>
      </c>
      <c r="H186" s="48">
        <f>IF(F186="","",IF(J186="Yes",ROUND(F186*G186,2),0))</f>
        <v/>
      </c>
      <c r="I186" s="48">
        <f>IF(F186="","",F186+ROUND(F186*G186,2))</f>
        <v/>
      </c>
      <c r="J186" s="14" t="n"/>
      <c r="K186" s="51">
        <f>IF(A186="","",DATE(YEAR(A186),MONTH(A186),1))</f>
        <v/>
      </c>
      <c r="L186" s="14" t="n"/>
      <c r="M186" s="52" t="n"/>
      <c r="N186" s="14" t="n"/>
    </row>
    <row r="187">
      <c r="A187" s="49" t="n"/>
      <c r="B187" s="14" t="n"/>
      <c r="C187" s="14" t="n"/>
      <c r="D187" s="14" t="n"/>
      <c r="E187" s="14" t="n"/>
      <c r="F187" s="48" t="n"/>
      <c r="G187" s="50">
        <f>IF(A187="","",Settings!$B$4)</f>
        <v/>
      </c>
      <c r="H187" s="48">
        <f>IF(F187="","",IF(J187="Yes",ROUND(F187*G187,2),0))</f>
        <v/>
      </c>
      <c r="I187" s="48">
        <f>IF(F187="","",F187+ROUND(F187*G187,2))</f>
        <v/>
      </c>
      <c r="J187" s="14" t="n"/>
      <c r="K187" s="51">
        <f>IF(A187="","",DATE(YEAR(A187),MONTH(A187),1))</f>
        <v/>
      </c>
      <c r="L187" s="14" t="n"/>
      <c r="M187" s="52" t="n"/>
      <c r="N187" s="14" t="n"/>
    </row>
    <row r="188">
      <c r="A188" s="49" t="n"/>
      <c r="B188" s="14" t="n"/>
      <c r="C188" s="14" t="n"/>
      <c r="D188" s="14" t="n"/>
      <c r="E188" s="14" t="n"/>
      <c r="F188" s="48" t="n"/>
      <c r="G188" s="50">
        <f>IF(A188="","",Settings!$B$4)</f>
        <v/>
      </c>
      <c r="H188" s="48">
        <f>IF(F188="","",IF(J188="Yes",ROUND(F188*G188,2),0))</f>
        <v/>
      </c>
      <c r="I188" s="48">
        <f>IF(F188="","",F188+ROUND(F188*G188,2))</f>
        <v/>
      </c>
      <c r="J188" s="14" t="n"/>
      <c r="K188" s="51">
        <f>IF(A188="","",DATE(YEAR(A188),MONTH(A188),1))</f>
        <v/>
      </c>
      <c r="L188" s="14" t="n"/>
      <c r="M188" s="52" t="n"/>
      <c r="N188" s="14" t="n"/>
    </row>
    <row r="189">
      <c r="A189" s="49" t="n"/>
      <c r="B189" s="14" t="n"/>
      <c r="C189" s="14" t="n"/>
      <c r="D189" s="14" t="n"/>
      <c r="E189" s="14" t="n"/>
      <c r="F189" s="48" t="n"/>
      <c r="G189" s="50">
        <f>IF(A189="","",Settings!$B$4)</f>
        <v/>
      </c>
      <c r="H189" s="48">
        <f>IF(F189="","",IF(J189="Yes",ROUND(F189*G189,2),0))</f>
        <v/>
      </c>
      <c r="I189" s="48">
        <f>IF(F189="","",F189+ROUND(F189*G189,2))</f>
        <v/>
      </c>
      <c r="J189" s="14" t="n"/>
      <c r="K189" s="51">
        <f>IF(A189="","",DATE(YEAR(A189),MONTH(A189),1))</f>
        <v/>
      </c>
      <c r="L189" s="14" t="n"/>
      <c r="M189" s="52" t="n"/>
      <c r="N189" s="14" t="n"/>
    </row>
    <row r="190">
      <c r="A190" s="49" t="n"/>
      <c r="B190" s="14" t="n"/>
      <c r="C190" s="14" t="n"/>
      <c r="D190" s="14" t="n"/>
      <c r="E190" s="14" t="n"/>
      <c r="F190" s="48" t="n"/>
      <c r="G190" s="50">
        <f>IF(A190="","",Settings!$B$4)</f>
        <v/>
      </c>
      <c r="H190" s="48">
        <f>IF(F190="","",IF(J190="Yes",ROUND(F190*G190,2),0))</f>
        <v/>
      </c>
      <c r="I190" s="48">
        <f>IF(F190="","",F190+ROUND(F190*G190,2))</f>
        <v/>
      </c>
      <c r="J190" s="14" t="n"/>
      <c r="K190" s="51">
        <f>IF(A190="","",DATE(YEAR(A190),MONTH(A190),1))</f>
        <v/>
      </c>
      <c r="L190" s="14" t="n"/>
      <c r="M190" s="52" t="n"/>
      <c r="N190" s="14" t="n"/>
    </row>
    <row r="191">
      <c r="A191" s="49" t="n"/>
      <c r="B191" s="14" t="n"/>
      <c r="C191" s="14" t="n"/>
      <c r="D191" s="14" t="n"/>
      <c r="E191" s="14" t="n"/>
      <c r="F191" s="48" t="n"/>
      <c r="G191" s="50">
        <f>IF(A191="","",Settings!$B$4)</f>
        <v/>
      </c>
      <c r="H191" s="48">
        <f>IF(F191="","",IF(J191="Yes",ROUND(F191*G191,2),0))</f>
        <v/>
      </c>
      <c r="I191" s="48">
        <f>IF(F191="","",F191+ROUND(F191*G191,2))</f>
        <v/>
      </c>
      <c r="J191" s="14" t="n"/>
      <c r="K191" s="51">
        <f>IF(A191="","",DATE(YEAR(A191),MONTH(A191),1))</f>
        <v/>
      </c>
      <c r="L191" s="14" t="n"/>
      <c r="M191" s="52" t="n"/>
      <c r="N191" s="14" t="n"/>
    </row>
    <row r="192">
      <c r="A192" s="49" t="n"/>
      <c r="B192" s="14" t="n"/>
      <c r="C192" s="14" t="n"/>
      <c r="D192" s="14" t="n"/>
      <c r="E192" s="14" t="n"/>
      <c r="F192" s="48" t="n"/>
      <c r="G192" s="50">
        <f>IF(A192="","",Settings!$B$4)</f>
        <v/>
      </c>
      <c r="H192" s="48">
        <f>IF(F192="","",IF(J192="Yes",ROUND(F192*G192,2),0))</f>
        <v/>
      </c>
      <c r="I192" s="48">
        <f>IF(F192="","",F192+ROUND(F192*G192,2))</f>
        <v/>
      </c>
      <c r="J192" s="14" t="n"/>
      <c r="K192" s="51">
        <f>IF(A192="","",DATE(YEAR(A192),MONTH(A192),1))</f>
        <v/>
      </c>
      <c r="L192" s="14" t="n"/>
      <c r="M192" s="52" t="n"/>
      <c r="N192" s="14" t="n"/>
    </row>
    <row r="193">
      <c r="A193" s="49" t="n"/>
      <c r="B193" s="14" t="n"/>
      <c r="C193" s="14" t="n"/>
      <c r="D193" s="14" t="n"/>
      <c r="E193" s="14" t="n"/>
      <c r="F193" s="48" t="n"/>
      <c r="G193" s="50">
        <f>IF(A193="","",Settings!$B$4)</f>
        <v/>
      </c>
      <c r="H193" s="48">
        <f>IF(F193="","",IF(J193="Yes",ROUND(F193*G193,2),0))</f>
        <v/>
      </c>
      <c r="I193" s="48">
        <f>IF(F193="","",F193+ROUND(F193*G193,2))</f>
        <v/>
      </c>
      <c r="J193" s="14" t="n"/>
      <c r="K193" s="51">
        <f>IF(A193="","",DATE(YEAR(A193),MONTH(A193),1))</f>
        <v/>
      </c>
      <c r="L193" s="14" t="n"/>
      <c r="M193" s="52" t="n"/>
      <c r="N193" s="14" t="n"/>
    </row>
    <row r="194">
      <c r="A194" s="49" t="n"/>
      <c r="B194" s="14" t="n"/>
      <c r="C194" s="14" t="n"/>
      <c r="D194" s="14" t="n"/>
      <c r="E194" s="14" t="n"/>
      <c r="F194" s="48" t="n"/>
      <c r="G194" s="50">
        <f>IF(A194="","",Settings!$B$4)</f>
        <v/>
      </c>
      <c r="H194" s="48">
        <f>IF(F194="","",IF(J194="Yes",ROUND(F194*G194,2),0))</f>
        <v/>
      </c>
      <c r="I194" s="48">
        <f>IF(F194="","",F194+ROUND(F194*G194,2))</f>
        <v/>
      </c>
      <c r="J194" s="14" t="n"/>
      <c r="K194" s="51">
        <f>IF(A194="","",DATE(YEAR(A194),MONTH(A194),1))</f>
        <v/>
      </c>
      <c r="L194" s="14" t="n"/>
      <c r="M194" s="52" t="n"/>
      <c r="N194" s="14" t="n"/>
    </row>
    <row r="195">
      <c r="A195" s="49" t="n"/>
      <c r="B195" s="14" t="n"/>
      <c r="C195" s="14" t="n"/>
      <c r="D195" s="14" t="n"/>
      <c r="E195" s="14" t="n"/>
      <c r="F195" s="48" t="n"/>
      <c r="G195" s="50">
        <f>IF(A195="","",Settings!$B$4)</f>
        <v/>
      </c>
      <c r="H195" s="48">
        <f>IF(F195="","",IF(J195="Yes",ROUND(F195*G195,2),0))</f>
        <v/>
      </c>
      <c r="I195" s="48">
        <f>IF(F195="","",F195+ROUND(F195*G195,2))</f>
        <v/>
      </c>
      <c r="J195" s="14" t="n"/>
      <c r="K195" s="51">
        <f>IF(A195="","",DATE(YEAR(A195),MONTH(A195),1))</f>
        <v/>
      </c>
      <c r="L195" s="14" t="n"/>
      <c r="M195" s="52" t="n"/>
      <c r="N195" s="14" t="n"/>
    </row>
    <row r="196">
      <c r="A196" s="49" t="n"/>
      <c r="B196" s="14" t="n"/>
      <c r="C196" s="14" t="n"/>
      <c r="D196" s="14" t="n"/>
      <c r="E196" s="14" t="n"/>
      <c r="F196" s="48" t="n"/>
      <c r="G196" s="50">
        <f>IF(A196="","",Settings!$B$4)</f>
        <v/>
      </c>
      <c r="H196" s="48">
        <f>IF(F196="","",IF(J196="Yes",ROUND(F196*G196,2),0))</f>
        <v/>
      </c>
      <c r="I196" s="48">
        <f>IF(F196="","",F196+ROUND(F196*G196,2))</f>
        <v/>
      </c>
      <c r="J196" s="14" t="n"/>
      <c r="K196" s="51">
        <f>IF(A196="","",DATE(YEAR(A196),MONTH(A196),1))</f>
        <v/>
      </c>
      <c r="L196" s="14" t="n"/>
      <c r="M196" s="52" t="n"/>
      <c r="N196" s="14" t="n"/>
    </row>
    <row r="197">
      <c r="A197" s="49" t="n"/>
      <c r="B197" s="14" t="n"/>
      <c r="C197" s="14" t="n"/>
      <c r="D197" s="14" t="n"/>
      <c r="E197" s="14" t="n"/>
      <c r="F197" s="48" t="n"/>
      <c r="G197" s="50">
        <f>IF(A197="","",Settings!$B$4)</f>
        <v/>
      </c>
      <c r="H197" s="48">
        <f>IF(F197="","",IF(J197="Yes",ROUND(F197*G197,2),0))</f>
        <v/>
      </c>
      <c r="I197" s="48">
        <f>IF(F197="","",F197+ROUND(F197*G197,2))</f>
        <v/>
      </c>
      <c r="J197" s="14" t="n"/>
      <c r="K197" s="51">
        <f>IF(A197="","",DATE(YEAR(A197),MONTH(A197),1))</f>
        <v/>
      </c>
      <c r="L197" s="14" t="n"/>
      <c r="M197" s="52" t="n"/>
      <c r="N197" s="14" t="n"/>
    </row>
    <row r="198">
      <c r="A198" s="49" t="n"/>
      <c r="B198" s="14" t="n"/>
      <c r="C198" s="14" t="n"/>
      <c r="D198" s="14" t="n"/>
      <c r="E198" s="14" t="n"/>
      <c r="F198" s="48" t="n"/>
      <c r="G198" s="50">
        <f>IF(A198="","",Settings!$B$4)</f>
        <v/>
      </c>
      <c r="H198" s="48">
        <f>IF(F198="","",IF(J198="Yes",ROUND(F198*G198,2),0))</f>
        <v/>
      </c>
      <c r="I198" s="48">
        <f>IF(F198="","",F198+ROUND(F198*G198,2))</f>
        <v/>
      </c>
      <c r="J198" s="14" t="n"/>
      <c r="K198" s="51">
        <f>IF(A198="","",DATE(YEAR(A198),MONTH(A198),1))</f>
        <v/>
      </c>
      <c r="L198" s="14" t="n"/>
      <c r="M198" s="52" t="n"/>
      <c r="N198" s="14" t="n"/>
    </row>
    <row r="199">
      <c r="A199" s="49" t="n"/>
      <c r="B199" s="14" t="n"/>
      <c r="C199" s="14" t="n"/>
      <c r="D199" s="14" t="n"/>
      <c r="E199" s="14" t="n"/>
      <c r="F199" s="48" t="n"/>
      <c r="G199" s="50">
        <f>IF(A199="","",Settings!$B$4)</f>
        <v/>
      </c>
      <c r="H199" s="48">
        <f>IF(F199="","",IF(J199="Yes",ROUND(F199*G199,2),0))</f>
        <v/>
      </c>
      <c r="I199" s="48">
        <f>IF(F199="","",F199+ROUND(F199*G199,2))</f>
        <v/>
      </c>
      <c r="J199" s="14" t="n"/>
      <c r="K199" s="51">
        <f>IF(A199="","",DATE(YEAR(A199),MONTH(A199),1))</f>
        <v/>
      </c>
      <c r="L199" s="14" t="n"/>
      <c r="M199" s="52" t="n"/>
      <c r="N199" s="14" t="n"/>
    </row>
    <row r="200">
      <c r="A200" s="49" t="n"/>
      <c r="B200" s="14" t="n"/>
      <c r="C200" s="14" t="n"/>
      <c r="D200" s="14" t="n"/>
      <c r="E200" s="14" t="n"/>
      <c r="F200" s="48" t="n"/>
      <c r="G200" s="50">
        <f>IF(A200="","",Settings!$B$4)</f>
        <v/>
      </c>
      <c r="H200" s="48">
        <f>IF(F200="","",IF(J200="Yes",ROUND(F200*G200,2),0))</f>
        <v/>
      </c>
      <c r="I200" s="48">
        <f>IF(F200="","",F200+ROUND(F200*G200,2))</f>
        <v/>
      </c>
      <c r="J200" s="14" t="n"/>
      <c r="K200" s="51">
        <f>IF(A200="","",DATE(YEAR(A200),MONTH(A200),1))</f>
        <v/>
      </c>
      <c r="L200" s="14" t="n"/>
      <c r="M200" s="52" t="n"/>
      <c r="N200" s="14" t="n"/>
    </row>
    <row r="201">
      <c r="A201" s="49" t="n"/>
      <c r="B201" s="14" t="n"/>
      <c r="C201" s="14" t="n"/>
      <c r="D201" s="14" t="n"/>
      <c r="E201" s="14" t="n"/>
      <c r="F201" s="48" t="n"/>
      <c r="G201" s="50">
        <f>IF(A201="","",Settings!$B$4)</f>
        <v/>
      </c>
      <c r="H201" s="48">
        <f>IF(F201="","",IF(J201="Yes",ROUND(F201*G201,2),0))</f>
        <v/>
      </c>
      <c r="I201" s="48">
        <f>IF(F201="","",F201+ROUND(F201*G201,2))</f>
        <v/>
      </c>
      <c r="J201" s="14" t="n"/>
      <c r="K201" s="51">
        <f>IF(A201="","",DATE(YEAR(A201),MONTH(A201),1))</f>
        <v/>
      </c>
      <c r="L201" s="14" t="n"/>
      <c r="M201" s="52" t="n"/>
      <c r="N201" s="14" t="n"/>
    </row>
    <row r="202">
      <c r="A202" s="49" t="n"/>
      <c r="B202" s="14" t="n"/>
      <c r="C202" s="14" t="n"/>
      <c r="D202" s="14" t="n"/>
      <c r="E202" s="14" t="n"/>
      <c r="F202" s="48" t="n"/>
      <c r="G202" s="50">
        <f>IF(A202="","",Settings!$B$4)</f>
        <v/>
      </c>
      <c r="H202" s="48">
        <f>IF(F202="","",IF(J202="Yes",ROUND(F202*G202,2),0))</f>
        <v/>
      </c>
      <c r="I202" s="48">
        <f>IF(F202="","",F202+ROUND(F202*G202,2))</f>
        <v/>
      </c>
      <c r="J202" s="14" t="n"/>
      <c r="K202" s="51">
        <f>IF(A202="","",DATE(YEAR(A202),MONTH(A202),1))</f>
        <v/>
      </c>
      <c r="L202" s="14" t="n"/>
      <c r="M202" s="52" t="n"/>
      <c r="N202" s="14" t="n"/>
    </row>
    <row r="203">
      <c r="A203" s="49" t="n"/>
      <c r="B203" s="14" t="n"/>
      <c r="C203" s="14" t="n"/>
      <c r="D203" s="14" t="n"/>
      <c r="E203" s="14" t="n"/>
      <c r="F203" s="48" t="n"/>
      <c r="G203" s="50">
        <f>IF(A203="","",Settings!$B$4)</f>
        <v/>
      </c>
      <c r="H203" s="48">
        <f>IF(F203="","",IF(J203="Yes",ROUND(F203*G203,2),0))</f>
        <v/>
      </c>
      <c r="I203" s="48">
        <f>IF(F203="","",F203+ROUND(F203*G203,2))</f>
        <v/>
      </c>
      <c r="J203" s="14" t="n"/>
      <c r="K203" s="51">
        <f>IF(A203="","",DATE(YEAR(A203),MONTH(A203),1))</f>
        <v/>
      </c>
      <c r="L203" s="14" t="n"/>
      <c r="M203" s="52" t="n"/>
      <c r="N203" s="14" t="n"/>
    </row>
    <row r="204">
      <c r="A204" s="49" t="n"/>
      <c r="B204" s="14" t="n"/>
      <c r="C204" s="14" t="n"/>
      <c r="D204" s="14" t="n"/>
      <c r="E204" s="14" t="n"/>
      <c r="F204" s="48" t="n"/>
      <c r="G204" s="50">
        <f>IF(A204="","",Settings!$B$4)</f>
        <v/>
      </c>
      <c r="H204" s="48">
        <f>IF(F204="","",IF(J204="Yes",ROUND(F204*G204,2),0))</f>
        <v/>
      </c>
      <c r="I204" s="48">
        <f>IF(F204="","",F204+ROUND(F204*G204,2))</f>
        <v/>
      </c>
      <c r="J204" s="14" t="n"/>
      <c r="K204" s="51">
        <f>IF(A204="","",DATE(YEAR(A204),MONTH(A204),1))</f>
        <v/>
      </c>
      <c r="L204" s="14" t="n"/>
      <c r="M204" s="52" t="n"/>
      <c r="N204" s="14" t="n"/>
    </row>
    <row r="205">
      <c r="A205" s="49" t="n"/>
      <c r="B205" s="14" t="n"/>
      <c r="C205" s="14" t="n"/>
      <c r="D205" s="14" t="n"/>
      <c r="E205" s="14" t="n"/>
      <c r="F205" s="48" t="n"/>
      <c r="G205" s="50">
        <f>IF(A205="","",Settings!$B$4)</f>
        <v/>
      </c>
      <c r="H205" s="48">
        <f>IF(F205="","",IF(J205="Yes",ROUND(F205*G205,2),0))</f>
        <v/>
      </c>
      <c r="I205" s="48">
        <f>IF(F205="","",F205+ROUND(F205*G205,2))</f>
        <v/>
      </c>
      <c r="J205" s="14" t="n"/>
      <c r="K205" s="51">
        <f>IF(A205="","",DATE(YEAR(A205),MONTH(A205),1))</f>
        <v/>
      </c>
      <c r="L205" s="14" t="n"/>
      <c r="M205" s="52" t="n"/>
      <c r="N205" s="14" t="n"/>
    </row>
    <row r="206">
      <c r="A206" s="49" t="n"/>
      <c r="B206" s="14" t="n"/>
      <c r="C206" s="14" t="n"/>
      <c r="D206" s="14" t="n"/>
      <c r="E206" s="14" t="n"/>
      <c r="F206" s="48" t="n"/>
      <c r="G206" s="50">
        <f>IF(A206="","",Settings!$B$4)</f>
        <v/>
      </c>
      <c r="H206" s="48">
        <f>IF(F206="","",IF(J206="Yes",ROUND(F206*G206,2),0))</f>
        <v/>
      </c>
      <c r="I206" s="48">
        <f>IF(F206="","",F206+ROUND(F206*G206,2))</f>
        <v/>
      </c>
      <c r="J206" s="14" t="n"/>
      <c r="K206" s="51">
        <f>IF(A206="","",DATE(YEAR(A206),MONTH(A206),1))</f>
        <v/>
      </c>
      <c r="L206" s="14" t="n"/>
      <c r="M206" s="52" t="n"/>
      <c r="N206" s="14" t="n"/>
    </row>
    <row r="207">
      <c r="A207" s="49" t="n"/>
      <c r="B207" s="14" t="n"/>
      <c r="C207" s="14" t="n"/>
      <c r="D207" s="14" t="n"/>
      <c r="E207" s="14" t="n"/>
      <c r="F207" s="48" t="n"/>
      <c r="G207" s="50">
        <f>IF(A207="","",Settings!$B$4)</f>
        <v/>
      </c>
      <c r="H207" s="48">
        <f>IF(F207="","",IF(J207="Yes",ROUND(F207*G207,2),0))</f>
        <v/>
      </c>
      <c r="I207" s="48">
        <f>IF(F207="","",F207+ROUND(F207*G207,2))</f>
        <v/>
      </c>
      <c r="J207" s="14" t="n"/>
      <c r="K207" s="51">
        <f>IF(A207="","",DATE(YEAR(A207),MONTH(A207),1))</f>
        <v/>
      </c>
      <c r="L207" s="14" t="n"/>
      <c r="M207" s="52" t="n"/>
      <c r="N207" s="14" t="n"/>
    </row>
    <row r="208">
      <c r="A208" s="49" t="n"/>
      <c r="B208" s="14" t="n"/>
      <c r="C208" s="14" t="n"/>
      <c r="D208" s="14" t="n"/>
      <c r="E208" s="14" t="n"/>
      <c r="F208" s="48" t="n"/>
      <c r="G208" s="50">
        <f>IF(A208="","",Settings!$B$4)</f>
        <v/>
      </c>
      <c r="H208" s="48">
        <f>IF(F208="","",IF(J208="Yes",ROUND(F208*G208,2),0))</f>
        <v/>
      </c>
      <c r="I208" s="48">
        <f>IF(F208="","",F208+ROUND(F208*G208,2))</f>
        <v/>
      </c>
      <c r="J208" s="14" t="n"/>
      <c r="K208" s="51">
        <f>IF(A208="","",DATE(YEAR(A208),MONTH(A208),1))</f>
        <v/>
      </c>
      <c r="L208" s="14" t="n"/>
      <c r="M208" s="52" t="n"/>
      <c r="N208" s="14" t="n"/>
    </row>
    <row r="209">
      <c r="A209" s="49" t="n"/>
      <c r="B209" s="14" t="n"/>
      <c r="C209" s="14" t="n"/>
      <c r="D209" s="14" t="n"/>
      <c r="E209" s="14" t="n"/>
      <c r="F209" s="48" t="n"/>
      <c r="G209" s="50">
        <f>IF(A209="","",Settings!$B$4)</f>
        <v/>
      </c>
      <c r="H209" s="48">
        <f>IF(F209="","",IF(J209="Yes",ROUND(F209*G209,2),0))</f>
        <v/>
      </c>
      <c r="I209" s="48">
        <f>IF(F209="","",F209+ROUND(F209*G209,2))</f>
        <v/>
      </c>
      <c r="J209" s="14" t="n"/>
      <c r="K209" s="51">
        <f>IF(A209="","",DATE(YEAR(A209),MONTH(A209),1))</f>
        <v/>
      </c>
      <c r="L209" s="14" t="n"/>
      <c r="M209" s="52" t="n"/>
      <c r="N209" s="14" t="n"/>
    </row>
    <row r="210">
      <c r="A210" s="49" t="n"/>
      <c r="B210" s="14" t="n"/>
      <c r="C210" s="14" t="n"/>
      <c r="D210" s="14" t="n"/>
      <c r="E210" s="14" t="n"/>
      <c r="F210" s="48" t="n"/>
      <c r="G210" s="50">
        <f>IF(A210="","",Settings!$B$4)</f>
        <v/>
      </c>
      <c r="H210" s="48">
        <f>IF(F210="","",IF(J210="Yes",ROUND(F210*G210,2),0))</f>
        <v/>
      </c>
      <c r="I210" s="48">
        <f>IF(F210="","",F210+ROUND(F210*G210,2))</f>
        <v/>
      </c>
      <c r="J210" s="14" t="n"/>
      <c r="K210" s="51">
        <f>IF(A210="","",DATE(YEAR(A210),MONTH(A210),1))</f>
        <v/>
      </c>
      <c r="L210" s="14" t="n"/>
      <c r="M210" s="52" t="n"/>
      <c r="N210" s="14" t="n"/>
    </row>
    <row r="211">
      <c r="A211" s="49" t="n"/>
      <c r="B211" s="14" t="n"/>
      <c r="C211" s="14" t="n"/>
      <c r="D211" s="14" t="n"/>
      <c r="E211" s="14" t="n"/>
      <c r="F211" s="48" t="n"/>
      <c r="G211" s="50">
        <f>IF(A211="","",Settings!$B$4)</f>
        <v/>
      </c>
      <c r="H211" s="48">
        <f>IF(F211="","",IF(J211="Yes",ROUND(F211*G211,2),0))</f>
        <v/>
      </c>
      <c r="I211" s="48">
        <f>IF(F211="","",F211+ROUND(F211*G211,2))</f>
        <v/>
      </c>
      <c r="J211" s="14" t="n"/>
      <c r="K211" s="51">
        <f>IF(A211="","",DATE(YEAR(A211),MONTH(A211),1))</f>
        <v/>
      </c>
      <c r="L211" s="14" t="n"/>
      <c r="M211" s="52" t="n"/>
      <c r="N211" s="14" t="n"/>
    </row>
    <row r="212">
      <c r="A212" s="49" t="n"/>
      <c r="B212" s="14" t="n"/>
      <c r="C212" s="14" t="n"/>
      <c r="D212" s="14" t="n"/>
      <c r="E212" s="14" t="n"/>
      <c r="F212" s="48" t="n"/>
      <c r="G212" s="50">
        <f>IF(A212="","",Settings!$B$4)</f>
        <v/>
      </c>
      <c r="H212" s="48">
        <f>IF(F212="","",IF(J212="Yes",ROUND(F212*G212,2),0))</f>
        <v/>
      </c>
      <c r="I212" s="48">
        <f>IF(F212="","",F212+ROUND(F212*G212,2))</f>
        <v/>
      </c>
      <c r="J212" s="14" t="n"/>
      <c r="K212" s="51">
        <f>IF(A212="","",DATE(YEAR(A212),MONTH(A212),1))</f>
        <v/>
      </c>
      <c r="L212" s="14" t="n"/>
      <c r="M212" s="52" t="n"/>
      <c r="N212" s="14" t="n"/>
    </row>
    <row r="213">
      <c r="A213" s="49" t="n"/>
      <c r="B213" s="14" t="n"/>
      <c r="C213" s="14" t="n"/>
      <c r="D213" s="14" t="n"/>
      <c r="E213" s="14" t="n"/>
      <c r="F213" s="48" t="n"/>
      <c r="G213" s="50">
        <f>IF(A213="","",Settings!$B$4)</f>
        <v/>
      </c>
      <c r="H213" s="48">
        <f>IF(F213="","",IF(J213="Yes",ROUND(F213*G213,2),0))</f>
        <v/>
      </c>
      <c r="I213" s="48">
        <f>IF(F213="","",F213+ROUND(F213*G213,2))</f>
        <v/>
      </c>
      <c r="J213" s="14" t="n"/>
      <c r="K213" s="51">
        <f>IF(A213="","",DATE(YEAR(A213),MONTH(A213),1))</f>
        <v/>
      </c>
      <c r="L213" s="14" t="n"/>
      <c r="M213" s="52" t="n"/>
      <c r="N213" s="14" t="n"/>
    </row>
    <row r="214">
      <c r="A214" s="49" t="n"/>
      <c r="B214" s="14" t="n"/>
      <c r="C214" s="14" t="n"/>
      <c r="D214" s="14" t="n"/>
      <c r="E214" s="14" t="n"/>
      <c r="F214" s="48" t="n"/>
      <c r="G214" s="50">
        <f>IF(A214="","",Settings!$B$4)</f>
        <v/>
      </c>
      <c r="H214" s="48">
        <f>IF(F214="","",IF(J214="Yes",ROUND(F214*G214,2),0))</f>
        <v/>
      </c>
      <c r="I214" s="48">
        <f>IF(F214="","",F214+ROUND(F214*G214,2))</f>
        <v/>
      </c>
      <c r="J214" s="14" t="n"/>
      <c r="K214" s="51">
        <f>IF(A214="","",DATE(YEAR(A214),MONTH(A214),1))</f>
        <v/>
      </c>
      <c r="L214" s="14" t="n"/>
      <c r="M214" s="52" t="n"/>
      <c r="N214" s="14" t="n"/>
    </row>
    <row r="215">
      <c r="A215" s="49" t="n"/>
      <c r="B215" s="14" t="n"/>
      <c r="C215" s="14" t="n"/>
      <c r="D215" s="14" t="n"/>
      <c r="E215" s="14" t="n"/>
      <c r="F215" s="48" t="n"/>
      <c r="G215" s="50">
        <f>IF(A215="","",Settings!$B$4)</f>
        <v/>
      </c>
      <c r="H215" s="48">
        <f>IF(F215="","",IF(J215="Yes",ROUND(F215*G215,2),0))</f>
        <v/>
      </c>
      <c r="I215" s="48">
        <f>IF(F215="","",F215+ROUND(F215*G215,2))</f>
        <v/>
      </c>
      <c r="J215" s="14" t="n"/>
      <c r="K215" s="51">
        <f>IF(A215="","",DATE(YEAR(A215),MONTH(A215),1))</f>
        <v/>
      </c>
      <c r="L215" s="14" t="n"/>
      <c r="M215" s="52" t="n"/>
      <c r="N215" s="14" t="n"/>
    </row>
    <row r="216">
      <c r="A216" s="49" t="n"/>
      <c r="B216" s="14" t="n"/>
      <c r="C216" s="14" t="n"/>
      <c r="D216" s="14" t="n"/>
      <c r="E216" s="14" t="n"/>
      <c r="F216" s="48" t="n"/>
      <c r="G216" s="50">
        <f>IF(A216="","",Settings!$B$4)</f>
        <v/>
      </c>
      <c r="H216" s="48">
        <f>IF(F216="","",IF(J216="Yes",ROUND(F216*G216,2),0))</f>
        <v/>
      </c>
      <c r="I216" s="48">
        <f>IF(F216="","",F216+ROUND(F216*G216,2))</f>
        <v/>
      </c>
      <c r="J216" s="14" t="n"/>
      <c r="K216" s="51">
        <f>IF(A216="","",DATE(YEAR(A216),MONTH(A216),1))</f>
        <v/>
      </c>
      <c r="L216" s="14" t="n"/>
      <c r="M216" s="52" t="n"/>
      <c r="N216" s="14" t="n"/>
    </row>
    <row r="217">
      <c r="A217" s="49" t="n"/>
      <c r="B217" s="14" t="n"/>
      <c r="C217" s="14" t="n"/>
      <c r="D217" s="14" t="n"/>
      <c r="E217" s="14" t="n"/>
      <c r="F217" s="48" t="n"/>
      <c r="G217" s="50">
        <f>IF(A217="","",Settings!$B$4)</f>
        <v/>
      </c>
      <c r="H217" s="48">
        <f>IF(F217="","",IF(J217="Yes",ROUND(F217*G217,2),0))</f>
        <v/>
      </c>
      <c r="I217" s="48">
        <f>IF(F217="","",F217+ROUND(F217*G217,2))</f>
        <v/>
      </c>
      <c r="J217" s="14" t="n"/>
      <c r="K217" s="51">
        <f>IF(A217="","",DATE(YEAR(A217),MONTH(A217),1))</f>
        <v/>
      </c>
      <c r="L217" s="14" t="n"/>
      <c r="M217" s="52" t="n"/>
      <c r="N217" s="14" t="n"/>
    </row>
    <row r="218">
      <c r="A218" s="49" t="n"/>
      <c r="B218" s="14" t="n"/>
      <c r="C218" s="14" t="n"/>
      <c r="D218" s="14" t="n"/>
      <c r="E218" s="14" t="n"/>
      <c r="F218" s="48" t="n"/>
      <c r="G218" s="50">
        <f>IF(A218="","",Settings!$B$4)</f>
        <v/>
      </c>
      <c r="H218" s="48">
        <f>IF(F218="","",IF(J218="Yes",ROUND(F218*G218,2),0))</f>
        <v/>
      </c>
      <c r="I218" s="48">
        <f>IF(F218="","",F218+ROUND(F218*G218,2))</f>
        <v/>
      </c>
      <c r="J218" s="14" t="n"/>
      <c r="K218" s="51">
        <f>IF(A218="","",DATE(YEAR(A218),MONTH(A218),1))</f>
        <v/>
      </c>
      <c r="L218" s="14" t="n"/>
      <c r="M218" s="52" t="n"/>
      <c r="N218" s="14" t="n"/>
    </row>
    <row r="219">
      <c r="A219" s="49" t="n"/>
      <c r="B219" s="14" t="n"/>
      <c r="C219" s="14" t="n"/>
      <c r="D219" s="14" t="n"/>
      <c r="E219" s="14" t="n"/>
      <c r="F219" s="48" t="n"/>
      <c r="G219" s="50">
        <f>IF(A219="","",Settings!$B$4)</f>
        <v/>
      </c>
      <c r="H219" s="48">
        <f>IF(F219="","",IF(J219="Yes",ROUND(F219*G219,2),0))</f>
        <v/>
      </c>
      <c r="I219" s="48">
        <f>IF(F219="","",F219+ROUND(F219*G219,2))</f>
        <v/>
      </c>
      <c r="J219" s="14" t="n"/>
      <c r="K219" s="51">
        <f>IF(A219="","",DATE(YEAR(A219),MONTH(A219),1))</f>
        <v/>
      </c>
      <c r="L219" s="14" t="n"/>
      <c r="M219" s="52" t="n"/>
      <c r="N219" s="14" t="n"/>
    </row>
    <row r="220">
      <c r="A220" s="49" t="n"/>
      <c r="B220" s="14" t="n"/>
      <c r="C220" s="14" t="n"/>
      <c r="D220" s="14" t="n"/>
      <c r="E220" s="14" t="n"/>
      <c r="F220" s="48" t="n"/>
      <c r="G220" s="50">
        <f>IF(A220="","",Settings!$B$4)</f>
        <v/>
      </c>
      <c r="H220" s="48">
        <f>IF(F220="","",IF(J220="Yes",ROUND(F220*G220,2),0))</f>
        <v/>
      </c>
      <c r="I220" s="48">
        <f>IF(F220="","",F220+ROUND(F220*G220,2))</f>
        <v/>
      </c>
      <c r="J220" s="14" t="n"/>
      <c r="K220" s="51">
        <f>IF(A220="","",DATE(YEAR(A220),MONTH(A220),1))</f>
        <v/>
      </c>
      <c r="L220" s="14" t="n"/>
      <c r="M220" s="52" t="n"/>
      <c r="N220" s="14" t="n"/>
    </row>
    <row r="221">
      <c r="A221" s="49" t="n"/>
      <c r="B221" s="14" t="n"/>
      <c r="C221" s="14" t="n"/>
      <c r="D221" s="14" t="n"/>
      <c r="E221" s="14" t="n"/>
      <c r="F221" s="48" t="n"/>
      <c r="G221" s="50">
        <f>IF(A221="","",Settings!$B$4)</f>
        <v/>
      </c>
      <c r="H221" s="48">
        <f>IF(F221="","",IF(J221="Yes",ROUND(F221*G221,2),0))</f>
        <v/>
      </c>
      <c r="I221" s="48">
        <f>IF(F221="","",F221+ROUND(F221*G221,2))</f>
        <v/>
      </c>
      <c r="J221" s="14" t="n"/>
      <c r="K221" s="51">
        <f>IF(A221="","",DATE(YEAR(A221),MONTH(A221),1))</f>
        <v/>
      </c>
      <c r="L221" s="14" t="n"/>
      <c r="M221" s="52" t="n"/>
      <c r="N221" s="14" t="n"/>
    </row>
    <row r="222">
      <c r="A222" s="49" t="n"/>
      <c r="B222" s="14" t="n"/>
      <c r="C222" s="14" t="n"/>
      <c r="D222" s="14" t="n"/>
      <c r="E222" s="14" t="n"/>
      <c r="F222" s="48" t="n"/>
      <c r="G222" s="50">
        <f>IF(A222="","",Settings!$B$4)</f>
        <v/>
      </c>
      <c r="H222" s="48">
        <f>IF(F222="","",IF(J222="Yes",ROUND(F222*G222,2),0))</f>
        <v/>
      </c>
      <c r="I222" s="48">
        <f>IF(F222="","",F222+ROUND(F222*G222,2))</f>
        <v/>
      </c>
      <c r="J222" s="14" t="n"/>
      <c r="K222" s="51">
        <f>IF(A222="","",DATE(YEAR(A222),MONTH(A222),1))</f>
        <v/>
      </c>
      <c r="L222" s="14" t="n"/>
      <c r="M222" s="52" t="n"/>
      <c r="N222" s="14" t="n"/>
    </row>
    <row r="223">
      <c r="A223" s="49" t="n"/>
      <c r="B223" s="14" t="n"/>
      <c r="C223" s="14" t="n"/>
      <c r="D223" s="14" t="n"/>
      <c r="E223" s="14" t="n"/>
      <c r="F223" s="48" t="n"/>
      <c r="G223" s="50">
        <f>IF(A223="","",Settings!$B$4)</f>
        <v/>
      </c>
      <c r="H223" s="48">
        <f>IF(F223="","",IF(J223="Yes",ROUND(F223*G223,2),0))</f>
        <v/>
      </c>
      <c r="I223" s="48">
        <f>IF(F223="","",F223+ROUND(F223*G223,2))</f>
        <v/>
      </c>
      <c r="J223" s="14" t="n"/>
      <c r="K223" s="51">
        <f>IF(A223="","",DATE(YEAR(A223),MONTH(A223),1))</f>
        <v/>
      </c>
      <c r="L223" s="14" t="n"/>
      <c r="M223" s="52" t="n"/>
      <c r="N223" s="14" t="n"/>
    </row>
    <row r="224">
      <c r="A224" s="49" t="n"/>
      <c r="B224" s="14" t="n"/>
      <c r="C224" s="14" t="n"/>
      <c r="D224" s="14" t="n"/>
      <c r="E224" s="14" t="n"/>
      <c r="F224" s="48" t="n"/>
      <c r="G224" s="50">
        <f>IF(A224="","",Settings!$B$4)</f>
        <v/>
      </c>
      <c r="H224" s="48">
        <f>IF(F224="","",IF(J224="Yes",ROUND(F224*G224,2),0))</f>
        <v/>
      </c>
      <c r="I224" s="48">
        <f>IF(F224="","",F224+ROUND(F224*G224,2))</f>
        <v/>
      </c>
      <c r="J224" s="14" t="n"/>
      <c r="K224" s="51">
        <f>IF(A224="","",DATE(YEAR(A224),MONTH(A224),1))</f>
        <v/>
      </c>
      <c r="L224" s="14" t="n"/>
      <c r="M224" s="52" t="n"/>
      <c r="N224" s="14" t="n"/>
    </row>
    <row r="225">
      <c r="A225" s="49" t="n"/>
      <c r="B225" s="14" t="n"/>
      <c r="C225" s="14" t="n"/>
      <c r="D225" s="14" t="n"/>
      <c r="E225" s="14" t="n"/>
      <c r="F225" s="48" t="n"/>
      <c r="G225" s="50">
        <f>IF(A225="","",Settings!$B$4)</f>
        <v/>
      </c>
      <c r="H225" s="48">
        <f>IF(F225="","",IF(J225="Yes",ROUND(F225*G225,2),0))</f>
        <v/>
      </c>
      <c r="I225" s="48">
        <f>IF(F225="","",F225+ROUND(F225*G225,2))</f>
        <v/>
      </c>
      <c r="J225" s="14" t="n"/>
      <c r="K225" s="51">
        <f>IF(A225="","",DATE(YEAR(A225),MONTH(A225),1))</f>
        <v/>
      </c>
      <c r="L225" s="14" t="n"/>
      <c r="M225" s="52" t="n"/>
      <c r="N225" s="14" t="n"/>
    </row>
    <row r="226">
      <c r="A226" s="49" t="n"/>
      <c r="B226" s="14" t="n"/>
      <c r="C226" s="14" t="n"/>
      <c r="D226" s="14" t="n"/>
      <c r="E226" s="14" t="n"/>
      <c r="F226" s="48" t="n"/>
      <c r="G226" s="50">
        <f>IF(A226="","",Settings!$B$4)</f>
        <v/>
      </c>
      <c r="H226" s="48">
        <f>IF(F226="","",IF(J226="Yes",ROUND(F226*G226,2),0))</f>
        <v/>
      </c>
      <c r="I226" s="48">
        <f>IF(F226="","",F226+ROUND(F226*G226,2))</f>
        <v/>
      </c>
      <c r="J226" s="14" t="n"/>
      <c r="K226" s="51">
        <f>IF(A226="","",DATE(YEAR(A226),MONTH(A226),1))</f>
        <v/>
      </c>
      <c r="L226" s="14" t="n"/>
      <c r="M226" s="52" t="n"/>
      <c r="N226" s="14" t="n"/>
    </row>
    <row r="227">
      <c r="A227" s="49" t="n"/>
      <c r="B227" s="14" t="n"/>
      <c r="C227" s="14" t="n"/>
      <c r="D227" s="14" t="n"/>
      <c r="E227" s="14" t="n"/>
      <c r="F227" s="48" t="n"/>
      <c r="G227" s="50">
        <f>IF(A227="","",Settings!$B$4)</f>
        <v/>
      </c>
      <c r="H227" s="48">
        <f>IF(F227="","",IF(J227="Yes",ROUND(F227*G227,2),0))</f>
        <v/>
      </c>
      <c r="I227" s="48">
        <f>IF(F227="","",F227+ROUND(F227*G227,2))</f>
        <v/>
      </c>
      <c r="J227" s="14" t="n"/>
      <c r="K227" s="51">
        <f>IF(A227="","",DATE(YEAR(A227),MONTH(A227),1))</f>
        <v/>
      </c>
      <c r="L227" s="14" t="n"/>
      <c r="M227" s="52" t="n"/>
      <c r="N227" s="14" t="n"/>
    </row>
    <row r="228">
      <c r="A228" s="49" t="n"/>
      <c r="B228" s="14" t="n"/>
      <c r="C228" s="14" t="n"/>
      <c r="D228" s="14" t="n"/>
      <c r="E228" s="14" t="n"/>
      <c r="F228" s="48" t="n"/>
      <c r="G228" s="50">
        <f>IF(A228="","",Settings!$B$4)</f>
        <v/>
      </c>
      <c r="H228" s="48">
        <f>IF(F228="","",IF(J228="Yes",ROUND(F228*G228,2),0))</f>
        <v/>
      </c>
      <c r="I228" s="48">
        <f>IF(F228="","",F228+ROUND(F228*G228,2))</f>
        <v/>
      </c>
      <c r="J228" s="14" t="n"/>
      <c r="K228" s="51">
        <f>IF(A228="","",DATE(YEAR(A228),MONTH(A228),1))</f>
        <v/>
      </c>
      <c r="L228" s="14" t="n"/>
      <c r="M228" s="52" t="n"/>
      <c r="N228" s="14" t="n"/>
    </row>
    <row r="229">
      <c r="A229" s="49" t="n"/>
      <c r="B229" s="14" t="n"/>
      <c r="C229" s="14" t="n"/>
      <c r="D229" s="14" t="n"/>
      <c r="E229" s="14" t="n"/>
      <c r="F229" s="48" t="n"/>
      <c r="G229" s="50">
        <f>IF(A229="","",Settings!$B$4)</f>
        <v/>
      </c>
      <c r="H229" s="48">
        <f>IF(F229="","",IF(J229="Yes",ROUND(F229*G229,2),0))</f>
        <v/>
      </c>
      <c r="I229" s="48">
        <f>IF(F229="","",F229+ROUND(F229*G229,2))</f>
        <v/>
      </c>
      <c r="J229" s="14" t="n"/>
      <c r="K229" s="51">
        <f>IF(A229="","",DATE(YEAR(A229),MONTH(A229),1))</f>
        <v/>
      </c>
      <c r="L229" s="14" t="n"/>
      <c r="M229" s="52" t="n"/>
      <c r="N229" s="14" t="n"/>
    </row>
    <row r="230">
      <c r="A230" s="49" t="n"/>
      <c r="B230" s="14" t="n"/>
      <c r="C230" s="14" t="n"/>
      <c r="D230" s="14" t="n"/>
      <c r="E230" s="14" t="n"/>
      <c r="F230" s="48" t="n"/>
      <c r="G230" s="50">
        <f>IF(A230="","",Settings!$B$4)</f>
        <v/>
      </c>
      <c r="H230" s="48">
        <f>IF(F230="","",IF(J230="Yes",ROUND(F230*G230,2),0))</f>
        <v/>
      </c>
      <c r="I230" s="48">
        <f>IF(F230="","",F230+ROUND(F230*G230,2))</f>
        <v/>
      </c>
      <c r="J230" s="14" t="n"/>
      <c r="K230" s="51">
        <f>IF(A230="","",DATE(YEAR(A230),MONTH(A230),1))</f>
        <v/>
      </c>
      <c r="L230" s="14" t="n"/>
      <c r="M230" s="52" t="n"/>
      <c r="N230" s="14" t="n"/>
    </row>
    <row r="231">
      <c r="A231" s="49" t="n"/>
      <c r="B231" s="14" t="n"/>
      <c r="C231" s="14" t="n"/>
      <c r="D231" s="14" t="n"/>
      <c r="E231" s="14" t="n"/>
      <c r="F231" s="48" t="n"/>
      <c r="G231" s="50">
        <f>IF(A231="","",Settings!$B$4)</f>
        <v/>
      </c>
      <c r="H231" s="48">
        <f>IF(F231="","",IF(J231="Yes",ROUND(F231*G231,2),0))</f>
        <v/>
      </c>
      <c r="I231" s="48">
        <f>IF(F231="","",F231+ROUND(F231*G231,2))</f>
        <v/>
      </c>
      <c r="J231" s="14" t="n"/>
      <c r="K231" s="51">
        <f>IF(A231="","",DATE(YEAR(A231),MONTH(A231),1))</f>
        <v/>
      </c>
      <c r="L231" s="14" t="n"/>
      <c r="M231" s="52" t="n"/>
      <c r="N231" s="14" t="n"/>
    </row>
    <row r="232">
      <c r="A232" s="49" t="n"/>
      <c r="B232" s="14" t="n"/>
      <c r="C232" s="14" t="n"/>
      <c r="D232" s="14" t="n"/>
      <c r="E232" s="14" t="n"/>
      <c r="F232" s="48" t="n"/>
      <c r="G232" s="50">
        <f>IF(A232="","",Settings!$B$4)</f>
        <v/>
      </c>
      <c r="H232" s="48">
        <f>IF(F232="","",IF(J232="Yes",ROUND(F232*G232,2),0))</f>
        <v/>
      </c>
      <c r="I232" s="48">
        <f>IF(F232="","",F232+ROUND(F232*G232,2))</f>
        <v/>
      </c>
      <c r="J232" s="14" t="n"/>
      <c r="K232" s="51">
        <f>IF(A232="","",DATE(YEAR(A232),MONTH(A232),1))</f>
        <v/>
      </c>
      <c r="L232" s="14" t="n"/>
      <c r="M232" s="52" t="n"/>
      <c r="N232" s="14" t="n"/>
    </row>
    <row r="233">
      <c r="A233" s="49" t="n"/>
      <c r="B233" s="14" t="n"/>
      <c r="C233" s="14" t="n"/>
      <c r="D233" s="14" t="n"/>
      <c r="E233" s="14" t="n"/>
      <c r="F233" s="48" t="n"/>
      <c r="G233" s="50">
        <f>IF(A233="","",Settings!$B$4)</f>
        <v/>
      </c>
      <c r="H233" s="48">
        <f>IF(F233="","",IF(J233="Yes",ROUND(F233*G233,2),0))</f>
        <v/>
      </c>
      <c r="I233" s="48">
        <f>IF(F233="","",F233+ROUND(F233*G233,2))</f>
        <v/>
      </c>
      <c r="J233" s="14" t="n"/>
      <c r="K233" s="51">
        <f>IF(A233="","",DATE(YEAR(A233),MONTH(A233),1))</f>
        <v/>
      </c>
      <c r="L233" s="14" t="n"/>
      <c r="M233" s="52" t="n"/>
      <c r="N233" s="14" t="n"/>
    </row>
    <row r="234">
      <c r="A234" s="49" t="n"/>
      <c r="B234" s="14" t="n"/>
      <c r="C234" s="14" t="n"/>
      <c r="D234" s="14" t="n"/>
      <c r="E234" s="14" t="n"/>
      <c r="F234" s="48" t="n"/>
      <c r="G234" s="50">
        <f>IF(A234="","",Settings!$B$4)</f>
        <v/>
      </c>
      <c r="H234" s="48">
        <f>IF(F234="","",IF(J234="Yes",ROUND(F234*G234,2),0))</f>
        <v/>
      </c>
      <c r="I234" s="48">
        <f>IF(F234="","",F234+ROUND(F234*G234,2))</f>
        <v/>
      </c>
      <c r="J234" s="14" t="n"/>
      <c r="K234" s="51">
        <f>IF(A234="","",DATE(YEAR(A234),MONTH(A234),1))</f>
        <v/>
      </c>
      <c r="L234" s="14" t="n"/>
      <c r="M234" s="52" t="n"/>
      <c r="N234" s="14" t="n"/>
    </row>
    <row r="235">
      <c r="A235" s="49" t="n"/>
      <c r="B235" s="14" t="n"/>
      <c r="C235" s="14" t="n"/>
      <c r="D235" s="14" t="n"/>
      <c r="E235" s="14" t="n"/>
      <c r="F235" s="48" t="n"/>
      <c r="G235" s="50">
        <f>IF(A235="","",Settings!$B$4)</f>
        <v/>
      </c>
      <c r="H235" s="48">
        <f>IF(F235="","",IF(J235="Yes",ROUND(F235*G235,2),0))</f>
        <v/>
      </c>
      <c r="I235" s="48">
        <f>IF(F235="","",F235+ROUND(F235*G235,2))</f>
        <v/>
      </c>
      <c r="J235" s="14" t="n"/>
      <c r="K235" s="51">
        <f>IF(A235="","",DATE(YEAR(A235),MONTH(A235),1))</f>
        <v/>
      </c>
      <c r="L235" s="14" t="n"/>
      <c r="M235" s="52" t="n"/>
      <c r="N235" s="14" t="n"/>
    </row>
    <row r="236">
      <c r="A236" s="49" t="n"/>
      <c r="B236" s="14" t="n"/>
      <c r="C236" s="14" t="n"/>
      <c r="D236" s="14" t="n"/>
      <c r="E236" s="14" t="n"/>
      <c r="F236" s="48" t="n"/>
      <c r="G236" s="50">
        <f>IF(A236="","",Settings!$B$4)</f>
        <v/>
      </c>
      <c r="H236" s="48">
        <f>IF(F236="","",IF(J236="Yes",ROUND(F236*G236,2),0))</f>
        <v/>
      </c>
      <c r="I236" s="48">
        <f>IF(F236="","",F236+ROUND(F236*G236,2))</f>
        <v/>
      </c>
      <c r="J236" s="14" t="n"/>
      <c r="K236" s="51">
        <f>IF(A236="","",DATE(YEAR(A236),MONTH(A236),1))</f>
        <v/>
      </c>
      <c r="L236" s="14" t="n"/>
      <c r="M236" s="52" t="n"/>
      <c r="N236" s="14" t="n"/>
    </row>
    <row r="237">
      <c r="A237" s="49" t="n"/>
      <c r="B237" s="14" t="n"/>
      <c r="C237" s="14" t="n"/>
      <c r="D237" s="14" t="n"/>
      <c r="E237" s="14" t="n"/>
      <c r="F237" s="48" t="n"/>
      <c r="G237" s="50">
        <f>IF(A237="","",Settings!$B$4)</f>
        <v/>
      </c>
      <c r="H237" s="48">
        <f>IF(F237="","",IF(J237="Yes",ROUND(F237*G237,2),0))</f>
        <v/>
      </c>
      <c r="I237" s="48">
        <f>IF(F237="","",F237+ROUND(F237*G237,2))</f>
        <v/>
      </c>
      <c r="J237" s="14" t="n"/>
      <c r="K237" s="51">
        <f>IF(A237="","",DATE(YEAR(A237),MONTH(A237),1))</f>
        <v/>
      </c>
      <c r="L237" s="14" t="n"/>
      <c r="M237" s="52" t="n"/>
      <c r="N237" s="14" t="n"/>
    </row>
    <row r="238">
      <c r="A238" s="49" t="n"/>
      <c r="B238" s="14" t="n"/>
      <c r="C238" s="14" t="n"/>
      <c r="D238" s="14" t="n"/>
      <c r="E238" s="14" t="n"/>
      <c r="F238" s="48" t="n"/>
      <c r="G238" s="50">
        <f>IF(A238="","",Settings!$B$4)</f>
        <v/>
      </c>
      <c r="H238" s="48">
        <f>IF(F238="","",IF(J238="Yes",ROUND(F238*G238,2),0))</f>
        <v/>
      </c>
      <c r="I238" s="48">
        <f>IF(F238="","",F238+ROUND(F238*G238,2))</f>
        <v/>
      </c>
      <c r="J238" s="14" t="n"/>
      <c r="K238" s="51">
        <f>IF(A238="","",DATE(YEAR(A238),MONTH(A238),1))</f>
        <v/>
      </c>
      <c r="L238" s="14" t="n"/>
      <c r="M238" s="52" t="n"/>
      <c r="N238" s="14" t="n"/>
    </row>
    <row r="239">
      <c r="A239" s="49" t="n"/>
      <c r="B239" s="14" t="n"/>
      <c r="C239" s="14" t="n"/>
      <c r="D239" s="14" t="n"/>
      <c r="E239" s="14" t="n"/>
      <c r="F239" s="48" t="n"/>
      <c r="G239" s="50">
        <f>IF(A239="","",Settings!$B$4)</f>
        <v/>
      </c>
      <c r="H239" s="48">
        <f>IF(F239="","",IF(J239="Yes",ROUND(F239*G239,2),0))</f>
        <v/>
      </c>
      <c r="I239" s="48">
        <f>IF(F239="","",F239+ROUND(F239*G239,2))</f>
        <v/>
      </c>
      <c r="J239" s="14" t="n"/>
      <c r="K239" s="51">
        <f>IF(A239="","",DATE(YEAR(A239),MONTH(A239),1))</f>
        <v/>
      </c>
      <c r="L239" s="14" t="n"/>
      <c r="M239" s="52" t="n"/>
      <c r="N239" s="14" t="n"/>
    </row>
    <row r="240">
      <c r="A240" s="49" t="n"/>
      <c r="B240" s="14" t="n"/>
      <c r="C240" s="14" t="n"/>
      <c r="D240" s="14" t="n"/>
      <c r="E240" s="14" t="n"/>
      <c r="F240" s="48" t="n"/>
      <c r="G240" s="50">
        <f>IF(A240="","",Settings!$B$4)</f>
        <v/>
      </c>
      <c r="H240" s="48">
        <f>IF(F240="","",IF(J240="Yes",ROUND(F240*G240,2),0))</f>
        <v/>
      </c>
      <c r="I240" s="48">
        <f>IF(F240="","",F240+ROUND(F240*G240,2))</f>
        <v/>
      </c>
      <c r="J240" s="14" t="n"/>
      <c r="K240" s="51">
        <f>IF(A240="","",DATE(YEAR(A240),MONTH(A240),1))</f>
        <v/>
      </c>
      <c r="L240" s="14" t="n"/>
      <c r="M240" s="52" t="n"/>
      <c r="N240" s="14" t="n"/>
    </row>
    <row r="241">
      <c r="A241" s="49" t="n"/>
      <c r="B241" s="14" t="n"/>
      <c r="C241" s="14" t="n"/>
      <c r="D241" s="14" t="n"/>
      <c r="E241" s="14" t="n"/>
      <c r="F241" s="48" t="n"/>
      <c r="G241" s="50">
        <f>IF(A241="","",Settings!$B$4)</f>
        <v/>
      </c>
      <c r="H241" s="48">
        <f>IF(F241="","",IF(J241="Yes",ROUND(F241*G241,2),0))</f>
        <v/>
      </c>
      <c r="I241" s="48">
        <f>IF(F241="","",F241+ROUND(F241*G241,2))</f>
        <v/>
      </c>
      <c r="J241" s="14" t="n"/>
      <c r="K241" s="51">
        <f>IF(A241="","",DATE(YEAR(A241),MONTH(A241),1))</f>
        <v/>
      </c>
      <c r="L241" s="14" t="n"/>
      <c r="M241" s="52" t="n"/>
      <c r="N241" s="14" t="n"/>
    </row>
    <row r="242">
      <c r="A242" s="49" t="n"/>
      <c r="B242" s="14" t="n"/>
      <c r="C242" s="14" t="n"/>
      <c r="D242" s="14" t="n"/>
      <c r="E242" s="14" t="n"/>
      <c r="F242" s="48" t="n"/>
      <c r="G242" s="50">
        <f>IF(A242="","",Settings!$B$4)</f>
        <v/>
      </c>
      <c r="H242" s="48">
        <f>IF(F242="","",IF(J242="Yes",ROUND(F242*G242,2),0))</f>
        <v/>
      </c>
      <c r="I242" s="48">
        <f>IF(F242="","",F242+ROUND(F242*G242,2))</f>
        <v/>
      </c>
      <c r="J242" s="14" t="n"/>
      <c r="K242" s="51">
        <f>IF(A242="","",DATE(YEAR(A242),MONTH(A242),1))</f>
        <v/>
      </c>
      <c r="L242" s="14" t="n"/>
      <c r="M242" s="52" t="n"/>
      <c r="N242" s="14" t="n"/>
    </row>
    <row r="243">
      <c r="A243" s="49" t="n"/>
      <c r="B243" s="14" t="n"/>
      <c r="C243" s="14" t="n"/>
      <c r="D243" s="14" t="n"/>
      <c r="E243" s="14" t="n"/>
      <c r="F243" s="48" t="n"/>
      <c r="G243" s="50">
        <f>IF(A243="","",Settings!$B$4)</f>
        <v/>
      </c>
      <c r="H243" s="48">
        <f>IF(F243="","",IF(J243="Yes",ROUND(F243*G243,2),0))</f>
        <v/>
      </c>
      <c r="I243" s="48">
        <f>IF(F243="","",F243+ROUND(F243*G243,2))</f>
        <v/>
      </c>
      <c r="J243" s="14" t="n"/>
      <c r="K243" s="51">
        <f>IF(A243="","",DATE(YEAR(A243),MONTH(A243),1))</f>
        <v/>
      </c>
      <c r="L243" s="14" t="n"/>
      <c r="M243" s="52" t="n"/>
      <c r="N243" s="14" t="n"/>
    </row>
    <row r="244">
      <c r="A244" s="49" t="n"/>
      <c r="B244" s="14" t="n"/>
      <c r="C244" s="14" t="n"/>
      <c r="D244" s="14" t="n"/>
      <c r="E244" s="14" t="n"/>
      <c r="F244" s="48" t="n"/>
      <c r="G244" s="50">
        <f>IF(A244="","",Settings!$B$4)</f>
        <v/>
      </c>
      <c r="H244" s="48">
        <f>IF(F244="","",IF(J244="Yes",ROUND(F244*G244,2),0))</f>
        <v/>
      </c>
      <c r="I244" s="48">
        <f>IF(F244="","",F244+ROUND(F244*G244,2))</f>
        <v/>
      </c>
      <c r="J244" s="14" t="n"/>
      <c r="K244" s="51">
        <f>IF(A244="","",DATE(YEAR(A244),MONTH(A244),1))</f>
        <v/>
      </c>
      <c r="L244" s="14" t="n"/>
      <c r="M244" s="52" t="n"/>
      <c r="N244" s="14" t="n"/>
    </row>
    <row r="245">
      <c r="A245" s="49" t="n"/>
      <c r="B245" s="14" t="n"/>
      <c r="C245" s="14" t="n"/>
      <c r="D245" s="14" t="n"/>
      <c r="E245" s="14" t="n"/>
      <c r="F245" s="48" t="n"/>
      <c r="G245" s="50">
        <f>IF(A245="","",Settings!$B$4)</f>
        <v/>
      </c>
      <c r="H245" s="48">
        <f>IF(F245="","",IF(J245="Yes",ROUND(F245*G245,2),0))</f>
        <v/>
      </c>
      <c r="I245" s="48">
        <f>IF(F245="","",F245+ROUND(F245*G245,2))</f>
        <v/>
      </c>
      <c r="J245" s="14" t="n"/>
      <c r="K245" s="51">
        <f>IF(A245="","",DATE(YEAR(A245),MONTH(A245),1))</f>
        <v/>
      </c>
      <c r="L245" s="14" t="n"/>
      <c r="M245" s="52" t="n"/>
      <c r="N245" s="14" t="n"/>
    </row>
    <row r="246">
      <c r="A246" s="49" t="n"/>
      <c r="B246" s="14" t="n"/>
      <c r="C246" s="14" t="n"/>
      <c r="D246" s="14" t="n"/>
      <c r="E246" s="14" t="n"/>
      <c r="F246" s="48" t="n"/>
      <c r="G246" s="50">
        <f>IF(A246="","",Settings!$B$4)</f>
        <v/>
      </c>
      <c r="H246" s="48">
        <f>IF(F246="","",IF(J246="Yes",ROUND(F246*G246,2),0))</f>
        <v/>
      </c>
      <c r="I246" s="48">
        <f>IF(F246="","",F246+ROUND(F246*G246,2))</f>
        <v/>
      </c>
      <c r="J246" s="14" t="n"/>
      <c r="K246" s="51">
        <f>IF(A246="","",DATE(YEAR(A246),MONTH(A246),1))</f>
        <v/>
      </c>
      <c r="L246" s="14" t="n"/>
      <c r="M246" s="52" t="n"/>
      <c r="N246" s="14" t="n"/>
    </row>
    <row r="247">
      <c r="A247" s="49" t="n"/>
      <c r="B247" s="14" t="n"/>
      <c r="C247" s="14" t="n"/>
      <c r="D247" s="14" t="n"/>
      <c r="E247" s="14" t="n"/>
      <c r="F247" s="48" t="n"/>
      <c r="G247" s="50">
        <f>IF(A247="","",Settings!$B$4)</f>
        <v/>
      </c>
      <c r="H247" s="48">
        <f>IF(F247="","",IF(J247="Yes",ROUND(F247*G247,2),0))</f>
        <v/>
      </c>
      <c r="I247" s="48">
        <f>IF(F247="","",F247+ROUND(F247*G247,2))</f>
        <v/>
      </c>
      <c r="J247" s="14" t="n"/>
      <c r="K247" s="51">
        <f>IF(A247="","",DATE(YEAR(A247),MONTH(A247),1))</f>
        <v/>
      </c>
      <c r="L247" s="14" t="n"/>
      <c r="M247" s="52" t="n"/>
      <c r="N247" s="14" t="n"/>
    </row>
    <row r="248">
      <c r="A248" s="49" t="n"/>
      <c r="B248" s="14" t="n"/>
      <c r="C248" s="14" t="n"/>
      <c r="D248" s="14" t="n"/>
      <c r="E248" s="14" t="n"/>
      <c r="F248" s="48" t="n"/>
      <c r="G248" s="50">
        <f>IF(A248="","",Settings!$B$4)</f>
        <v/>
      </c>
      <c r="H248" s="48">
        <f>IF(F248="","",IF(J248="Yes",ROUND(F248*G248,2),0))</f>
        <v/>
      </c>
      <c r="I248" s="48">
        <f>IF(F248="","",F248+ROUND(F248*G248,2))</f>
        <v/>
      </c>
      <c r="J248" s="14" t="n"/>
      <c r="K248" s="51">
        <f>IF(A248="","",DATE(YEAR(A248),MONTH(A248),1))</f>
        <v/>
      </c>
      <c r="L248" s="14" t="n"/>
      <c r="M248" s="52" t="n"/>
      <c r="N248" s="14" t="n"/>
    </row>
    <row r="249">
      <c r="A249" s="49" t="n"/>
      <c r="B249" s="14" t="n"/>
      <c r="C249" s="14" t="n"/>
      <c r="D249" s="14" t="n"/>
      <c r="E249" s="14" t="n"/>
      <c r="F249" s="48" t="n"/>
      <c r="G249" s="50">
        <f>IF(A249="","",Settings!$B$4)</f>
        <v/>
      </c>
      <c r="H249" s="48">
        <f>IF(F249="","",IF(J249="Yes",ROUND(F249*G249,2),0))</f>
        <v/>
      </c>
      <c r="I249" s="48">
        <f>IF(F249="","",F249+ROUND(F249*G249,2))</f>
        <v/>
      </c>
      <c r="J249" s="14" t="n"/>
      <c r="K249" s="51">
        <f>IF(A249="","",DATE(YEAR(A249),MONTH(A249),1))</f>
        <v/>
      </c>
      <c r="L249" s="14" t="n"/>
      <c r="M249" s="52" t="n"/>
      <c r="N249" s="14" t="n"/>
    </row>
    <row r="250">
      <c r="A250" s="49" t="n"/>
      <c r="B250" s="14" t="n"/>
      <c r="C250" s="14" t="n"/>
      <c r="D250" s="14" t="n"/>
      <c r="E250" s="14" t="n"/>
      <c r="F250" s="48" t="n"/>
      <c r="G250" s="50">
        <f>IF(A250="","",Settings!$B$4)</f>
        <v/>
      </c>
      <c r="H250" s="48">
        <f>IF(F250="","",IF(J250="Yes",ROUND(F250*G250,2),0))</f>
        <v/>
      </c>
      <c r="I250" s="48">
        <f>IF(F250="","",F250+ROUND(F250*G250,2))</f>
        <v/>
      </c>
      <c r="J250" s="14" t="n"/>
      <c r="K250" s="51">
        <f>IF(A250="","",DATE(YEAR(A250),MONTH(A250),1))</f>
        <v/>
      </c>
      <c r="L250" s="14" t="n"/>
      <c r="M250" s="52" t="n"/>
      <c r="N250" s="14" t="n"/>
    </row>
    <row r="251">
      <c r="A251" s="49" t="n"/>
      <c r="B251" s="14" t="n"/>
      <c r="C251" s="14" t="n"/>
      <c r="D251" s="14" t="n"/>
      <c r="E251" s="14" t="n"/>
      <c r="F251" s="48" t="n"/>
      <c r="G251" s="50">
        <f>IF(A251="","",Settings!$B$4)</f>
        <v/>
      </c>
      <c r="H251" s="48">
        <f>IF(F251="","",IF(J251="Yes",ROUND(F251*G251,2),0))</f>
        <v/>
      </c>
      <c r="I251" s="48">
        <f>IF(F251="","",F251+ROUND(F251*G251,2))</f>
        <v/>
      </c>
      <c r="J251" s="14" t="n"/>
      <c r="K251" s="51">
        <f>IF(A251="","",DATE(YEAR(A251),MONTH(A251),1))</f>
        <v/>
      </c>
      <c r="L251" s="14" t="n"/>
      <c r="M251" s="52" t="n"/>
      <c r="N251" s="14" t="n"/>
    </row>
    <row r="252">
      <c r="A252" s="49" t="n"/>
      <c r="B252" s="14" t="n"/>
      <c r="C252" s="14" t="n"/>
      <c r="D252" s="14" t="n"/>
      <c r="E252" s="14" t="n"/>
      <c r="F252" s="48" t="n"/>
      <c r="G252" s="50">
        <f>IF(A252="","",Settings!$B$4)</f>
        <v/>
      </c>
      <c r="H252" s="48">
        <f>IF(F252="","",IF(J252="Yes",ROUND(F252*G252,2),0))</f>
        <v/>
      </c>
      <c r="I252" s="48">
        <f>IF(F252="","",F252+ROUND(F252*G252,2))</f>
        <v/>
      </c>
      <c r="J252" s="14" t="n"/>
      <c r="K252" s="51">
        <f>IF(A252="","",DATE(YEAR(A252),MONTH(A252),1))</f>
        <v/>
      </c>
      <c r="L252" s="14" t="n"/>
      <c r="M252" s="52" t="n"/>
      <c r="N252" s="14" t="n"/>
    </row>
    <row r="253">
      <c r="A253" s="49" t="n"/>
      <c r="B253" s="14" t="n"/>
      <c r="C253" s="14" t="n"/>
      <c r="D253" s="14" t="n"/>
      <c r="E253" s="14" t="n"/>
      <c r="F253" s="48" t="n"/>
      <c r="G253" s="50">
        <f>IF(A253="","",Settings!$B$4)</f>
        <v/>
      </c>
      <c r="H253" s="48">
        <f>IF(F253="","",IF(J253="Yes",ROUND(F253*G253,2),0))</f>
        <v/>
      </c>
      <c r="I253" s="48">
        <f>IF(F253="","",F253+ROUND(F253*G253,2))</f>
        <v/>
      </c>
      <c r="J253" s="14" t="n"/>
      <c r="K253" s="51">
        <f>IF(A253="","",DATE(YEAR(A253),MONTH(A253),1))</f>
        <v/>
      </c>
      <c r="L253" s="14" t="n"/>
      <c r="M253" s="52" t="n"/>
      <c r="N253" s="14" t="n"/>
    </row>
    <row r="254">
      <c r="A254" s="49" t="n"/>
      <c r="B254" s="14" t="n"/>
      <c r="C254" s="14" t="n"/>
      <c r="D254" s="14" t="n"/>
      <c r="E254" s="14" t="n"/>
      <c r="F254" s="48" t="n"/>
      <c r="G254" s="50">
        <f>IF(A254="","",Settings!$B$4)</f>
        <v/>
      </c>
      <c r="H254" s="48">
        <f>IF(F254="","",IF(J254="Yes",ROUND(F254*G254,2),0))</f>
        <v/>
      </c>
      <c r="I254" s="48">
        <f>IF(F254="","",F254+ROUND(F254*G254,2))</f>
        <v/>
      </c>
      <c r="J254" s="14" t="n"/>
      <c r="K254" s="51">
        <f>IF(A254="","",DATE(YEAR(A254),MONTH(A254),1))</f>
        <v/>
      </c>
      <c r="L254" s="14" t="n"/>
      <c r="M254" s="52" t="n"/>
      <c r="N254" s="14" t="n"/>
    </row>
    <row r="255">
      <c r="A255" s="49" t="n"/>
      <c r="B255" s="14" t="n"/>
      <c r="C255" s="14" t="n"/>
      <c r="D255" s="14" t="n"/>
      <c r="E255" s="14" t="n"/>
      <c r="F255" s="48" t="n"/>
      <c r="G255" s="50">
        <f>IF(A255="","",Settings!$B$4)</f>
        <v/>
      </c>
      <c r="H255" s="48">
        <f>IF(F255="","",IF(J255="Yes",ROUND(F255*G255,2),0))</f>
        <v/>
      </c>
      <c r="I255" s="48">
        <f>IF(F255="","",F255+ROUND(F255*G255,2))</f>
        <v/>
      </c>
      <c r="J255" s="14" t="n"/>
      <c r="K255" s="51">
        <f>IF(A255="","",DATE(YEAR(A255),MONTH(A255),1))</f>
        <v/>
      </c>
      <c r="L255" s="14" t="n"/>
      <c r="M255" s="52" t="n"/>
      <c r="N255" s="14" t="n"/>
    </row>
    <row r="256">
      <c r="A256" s="49" t="n"/>
      <c r="B256" s="14" t="n"/>
      <c r="C256" s="14" t="n"/>
      <c r="D256" s="14" t="n"/>
      <c r="E256" s="14" t="n"/>
      <c r="F256" s="48" t="n"/>
      <c r="G256" s="50">
        <f>IF(A256="","",Settings!$B$4)</f>
        <v/>
      </c>
      <c r="H256" s="48">
        <f>IF(F256="","",IF(J256="Yes",ROUND(F256*G256,2),0))</f>
        <v/>
      </c>
      <c r="I256" s="48">
        <f>IF(F256="","",F256+ROUND(F256*G256,2))</f>
        <v/>
      </c>
      <c r="J256" s="14" t="n"/>
      <c r="K256" s="51">
        <f>IF(A256="","",DATE(YEAR(A256),MONTH(A256),1))</f>
        <v/>
      </c>
      <c r="L256" s="14" t="n"/>
      <c r="M256" s="52" t="n"/>
      <c r="N256" s="14" t="n"/>
    </row>
    <row r="257">
      <c r="A257" s="49" t="n"/>
      <c r="B257" s="14" t="n"/>
      <c r="C257" s="14" t="n"/>
      <c r="D257" s="14" t="n"/>
      <c r="E257" s="14" t="n"/>
      <c r="F257" s="48" t="n"/>
      <c r="G257" s="50">
        <f>IF(A257="","",Settings!$B$4)</f>
        <v/>
      </c>
      <c r="H257" s="48">
        <f>IF(F257="","",IF(J257="Yes",ROUND(F257*G257,2),0))</f>
        <v/>
      </c>
      <c r="I257" s="48">
        <f>IF(F257="","",F257+ROUND(F257*G257,2))</f>
        <v/>
      </c>
      <c r="J257" s="14" t="n"/>
      <c r="K257" s="51">
        <f>IF(A257="","",DATE(YEAR(A257),MONTH(A257),1))</f>
        <v/>
      </c>
      <c r="L257" s="14" t="n"/>
      <c r="M257" s="52" t="n"/>
      <c r="N257" s="14" t="n"/>
    </row>
    <row r="258">
      <c r="A258" s="49" t="n"/>
      <c r="B258" s="14" t="n"/>
      <c r="C258" s="14" t="n"/>
      <c r="D258" s="14" t="n"/>
      <c r="E258" s="14" t="n"/>
      <c r="F258" s="48" t="n"/>
      <c r="G258" s="50">
        <f>IF(A258="","",Settings!$B$4)</f>
        <v/>
      </c>
      <c r="H258" s="48">
        <f>IF(F258="","",IF(J258="Yes",ROUND(F258*G258,2),0))</f>
        <v/>
      </c>
      <c r="I258" s="48">
        <f>IF(F258="","",F258+ROUND(F258*G258,2))</f>
        <v/>
      </c>
      <c r="J258" s="14" t="n"/>
      <c r="K258" s="51">
        <f>IF(A258="","",DATE(YEAR(A258),MONTH(A258),1))</f>
        <v/>
      </c>
      <c r="L258" s="14" t="n"/>
      <c r="M258" s="52" t="n"/>
      <c r="N258" s="14" t="n"/>
    </row>
    <row r="259">
      <c r="A259" s="49" t="n"/>
      <c r="B259" s="14" t="n"/>
      <c r="C259" s="14" t="n"/>
      <c r="D259" s="14" t="n"/>
      <c r="E259" s="14" t="n"/>
      <c r="F259" s="48" t="n"/>
      <c r="G259" s="50">
        <f>IF(A259="","",Settings!$B$4)</f>
        <v/>
      </c>
      <c r="H259" s="48">
        <f>IF(F259="","",IF(J259="Yes",ROUND(F259*G259,2),0))</f>
        <v/>
      </c>
      <c r="I259" s="48">
        <f>IF(F259="","",F259+ROUND(F259*G259,2))</f>
        <v/>
      </c>
      <c r="J259" s="14" t="n"/>
      <c r="K259" s="51">
        <f>IF(A259="","",DATE(YEAR(A259),MONTH(A259),1))</f>
        <v/>
      </c>
      <c r="L259" s="14" t="n"/>
      <c r="M259" s="52" t="n"/>
      <c r="N259" s="14" t="n"/>
    </row>
    <row r="260">
      <c r="A260" s="49" t="n"/>
      <c r="B260" s="14" t="n"/>
      <c r="C260" s="14" t="n"/>
      <c r="D260" s="14" t="n"/>
      <c r="E260" s="14" t="n"/>
      <c r="F260" s="48" t="n"/>
      <c r="G260" s="50">
        <f>IF(A260="","",Settings!$B$4)</f>
        <v/>
      </c>
      <c r="H260" s="48">
        <f>IF(F260="","",IF(J260="Yes",ROUND(F260*G260,2),0))</f>
        <v/>
      </c>
      <c r="I260" s="48">
        <f>IF(F260="","",F260+ROUND(F260*G260,2))</f>
        <v/>
      </c>
      <c r="J260" s="14" t="n"/>
      <c r="K260" s="51">
        <f>IF(A260="","",DATE(YEAR(A260),MONTH(A260),1))</f>
        <v/>
      </c>
      <c r="L260" s="14" t="n"/>
      <c r="M260" s="52" t="n"/>
      <c r="N260" s="14" t="n"/>
    </row>
    <row r="261">
      <c r="A261" s="49" t="n"/>
      <c r="B261" s="14" t="n"/>
      <c r="C261" s="14" t="n"/>
      <c r="D261" s="14" t="n"/>
      <c r="E261" s="14" t="n"/>
      <c r="F261" s="48" t="n"/>
      <c r="G261" s="50">
        <f>IF(A261="","",Settings!$B$4)</f>
        <v/>
      </c>
      <c r="H261" s="48">
        <f>IF(F261="","",IF(J261="Yes",ROUND(F261*G261,2),0))</f>
        <v/>
      </c>
      <c r="I261" s="48">
        <f>IF(F261="","",F261+ROUND(F261*G261,2))</f>
        <v/>
      </c>
      <c r="J261" s="14" t="n"/>
      <c r="K261" s="51">
        <f>IF(A261="","",DATE(YEAR(A261),MONTH(A261),1))</f>
        <v/>
      </c>
      <c r="L261" s="14" t="n"/>
      <c r="M261" s="52" t="n"/>
      <c r="N261" s="14" t="n"/>
    </row>
    <row r="262">
      <c r="A262" s="49" t="n"/>
      <c r="B262" s="14" t="n"/>
      <c r="C262" s="14" t="n"/>
      <c r="D262" s="14" t="n"/>
      <c r="E262" s="14" t="n"/>
      <c r="F262" s="48" t="n"/>
      <c r="G262" s="50">
        <f>IF(A262="","",Settings!$B$4)</f>
        <v/>
      </c>
      <c r="H262" s="48">
        <f>IF(F262="","",IF(J262="Yes",ROUND(F262*G262,2),0))</f>
        <v/>
      </c>
      <c r="I262" s="48">
        <f>IF(F262="","",F262+ROUND(F262*G262,2))</f>
        <v/>
      </c>
      <c r="J262" s="14" t="n"/>
      <c r="K262" s="51">
        <f>IF(A262="","",DATE(YEAR(A262),MONTH(A262),1))</f>
        <v/>
      </c>
      <c r="L262" s="14" t="n"/>
      <c r="M262" s="52" t="n"/>
      <c r="N262" s="14" t="n"/>
    </row>
    <row r="263">
      <c r="A263" s="49" t="n"/>
      <c r="B263" s="14" t="n"/>
      <c r="C263" s="14" t="n"/>
      <c r="D263" s="14" t="n"/>
      <c r="E263" s="14" t="n"/>
      <c r="F263" s="48" t="n"/>
      <c r="G263" s="50">
        <f>IF(A263="","",Settings!$B$4)</f>
        <v/>
      </c>
      <c r="H263" s="48">
        <f>IF(F263="","",IF(J263="Yes",ROUND(F263*G263,2),0))</f>
        <v/>
      </c>
      <c r="I263" s="48">
        <f>IF(F263="","",F263+ROUND(F263*G263,2))</f>
        <v/>
      </c>
      <c r="J263" s="14" t="n"/>
      <c r="K263" s="51">
        <f>IF(A263="","",DATE(YEAR(A263),MONTH(A263),1))</f>
        <v/>
      </c>
      <c r="L263" s="14" t="n"/>
      <c r="M263" s="52" t="n"/>
      <c r="N263" s="14" t="n"/>
    </row>
    <row r="264">
      <c r="A264" s="49" t="n"/>
      <c r="B264" s="14" t="n"/>
      <c r="C264" s="14" t="n"/>
      <c r="D264" s="14" t="n"/>
      <c r="E264" s="14" t="n"/>
      <c r="F264" s="48" t="n"/>
      <c r="G264" s="50">
        <f>IF(A264="","",Settings!$B$4)</f>
        <v/>
      </c>
      <c r="H264" s="48">
        <f>IF(F264="","",IF(J264="Yes",ROUND(F264*G264,2),0))</f>
        <v/>
      </c>
      <c r="I264" s="48">
        <f>IF(F264="","",F264+ROUND(F264*G264,2))</f>
        <v/>
      </c>
      <c r="J264" s="14" t="n"/>
      <c r="K264" s="51">
        <f>IF(A264="","",DATE(YEAR(A264),MONTH(A264),1))</f>
        <v/>
      </c>
      <c r="L264" s="14" t="n"/>
      <c r="M264" s="52" t="n"/>
      <c r="N264" s="14" t="n"/>
    </row>
    <row r="265">
      <c r="A265" s="49" t="n"/>
      <c r="B265" s="14" t="n"/>
      <c r="C265" s="14" t="n"/>
      <c r="D265" s="14" t="n"/>
      <c r="E265" s="14" t="n"/>
      <c r="F265" s="48" t="n"/>
      <c r="G265" s="50">
        <f>IF(A265="","",Settings!$B$4)</f>
        <v/>
      </c>
      <c r="H265" s="48">
        <f>IF(F265="","",IF(J265="Yes",ROUND(F265*G265,2),0))</f>
        <v/>
      </c>
      <c r="I265" s="48">
        <f>IF(F265="","",F265+ROUND(F265*G265,2))</f>
        <v/>
      </c>
      <c r="J265" s="14" t="n"/>
      <c r="K265" s="51">
        <f>IF(A265="","",DATE(YEAR(A265),MONTH(A265),1))</f>
        <v/>
      </c>
      <c r="L265" s="14" t="n"/>
      <c r="M265" s="52" t="n"/>
      <c r="N265" s="14" t="n"/>
    </row>
    <row r="266">
      <c r="A266" s="49" t="n"/>
      <c r="B266" s="14" t="n"/>
      <c r="C266" s="14" t="n"/>
      <c r="D266" s="14" t="n"/>
      <c r="E266" s="14" t="n"/>
      <c r="F266" s="48" t="n"/>
      <c r="G266" s="50">
        <f>IF(A266="","",Settings!$B$4)</f>
        <v/>
      </c>
      <c r="H266" s="48">
        <f>IF(F266="","",IF(J266="Yes",ROUND(F266*G266,2),0))</f>
        <v/>
      </c>
      <c r="I266" s="48">
        <f>IF(F266="","",F266+ROUND(F266*G266,2))</f>
        <v/>
      </c>
      <c r="J266" s="14" t="n"/>
      <c r="K266" s="51">
        <f>IF(A266="","",DATE(YEAR(A266),MONTH(A266),1))</f>
        <v/>
      </c>
      <c r="L266" s="14" t="n"/>
      <c r="M266" s="52" t="n"/>
      <c r="N266" s="14" t="n"/>
    </row>
    <row r="267">
      <c r="A267" s="49" t="n"/>
      <c r="B267" s="14" t="n"/>
      <c r="C267" s="14" t="n"/>
      <c r="D267" s="14" t="n"/>
      <c r="E267" s="14" t="n"/>
      <c r="F267" s="48" t="n"/>
      <c r="G267" s="50">
        <f>IF(A267="","",Settings!$B$4)</f>
        <v/>
      </c>
      <c r="H267" s="48">
        <f>IF(F267="","",IF(J267="Yes",ROUND(F267*G267,2),0))</f>
        <v/>
      </c>
      <c r="I267" s="48">
        <f>IF(F267="","",F267+ROUND(F267*G267,2))</f>
        <v/>
      </c>
      <c r="J267" s="14" t="n"/>
      <c r="K267" s="51">
        <f>IF(A267="","",DATE(YEAR(A267),MONTH(A267),1))</f>
        <v/>
      </c>
      <c r="L267" s="14" t="n"/>
      <c r="M267" s="52" t="n"/>
      <c r="N267" s="14" t="n"/>
    </row>
    <row r="268">
      <c r="A268" s="49" t="n"/>
      <c r="B268" s="14" t="n"/>
      <c r="C268" s="14" t="n"/>
      <c r="D268" s="14" t="n"/>
      <c r="E268" s="14" t="n"/>
      <c r="F268" s="48" t="n"/>
      <c r="G268" s="50">
        <f>IF(A268="","",Settings!$B$4)</f>
        <v/>
      </c>
      <c r="H268" s="48">
        <f>IF(F268="","",IF(J268="Yes",ROUND(F268*G268,2),0))</f>
        <v/>
      </c>
      <c r="I268" s="48">
        <f>IF(F268="","",F268+ROUND(F268*G268,2))</f>
        <v/>
      </c>
      <c r="J268" s="14" t="n"/>
      <c r="K268" s="51">
        <f>IF(A268="","",DATE(YEAR(A268),MONTH(A268),1))</f>
        <v/>
      </c>
      <c r="L268" s="14" t="n"/>
      <c r="M268" s="52" t="n"/>
      <c r="N268" s="14" t="n"/>
    </row>
    <row r="269">
      <c r="A269" s="49" t="n"/>
      <c r="B269" s="14" t="n"/>
      <c r="C269" s="14" t="n"/>
      <c r="D269" s="14" t="n"/>
      <c r="E269" s="14" t="n"/>
      <c r="F269" s="48" t="n"/>
      <c r="G269" s="50">
        <f>IF(A269="","",Settings!$B$4)</f>
        <v/>
      </c>
      <c r="H269" s="48">
        <f>IF(F269="","",IF(J269="Yes",ROUND(F269*G269,2),0))</f>
        <v/>
      </c>
      <c r="I269" s="48">
        <f>IF(F269="","",F269+ROUND(F269*G269,2))</f>
        <v/>
      </c>
      <c r="J269" s="14" t="n"/>
      <c r="K269" s="51">
        <f>IF(A269="","",DATE(YEAR(A269),MONTH(A269),1))</f>
        <v/>
      </c>
      <c r="L269" s="14" t="n"/>
      <c r="M269" s="52" t="n"/>
      <c r="N269" s="14" t="n"/>
    </row>
    <row r="270">
      <c r="A270" s="49" t="n"/>
      <c r="B270" s="14" t="n"/>
      <c r="C270" s="14" t="n"/>
      <c r="D270" s="14" t="n"/>
      <c r="E270" s="14" t="n"/>
      <c r="F270" s="48" t="n"/>
      <c r="G270" s="50">
        <f>IF(A270="","",Settings!$B$4)</f>
        <v/>
      </c>
      <c r="H270" s="48">
        <f>IF(F270="","",IF(J270="Yes",ROUND(F270*G270,2),0))</f>
        <v/>
      </c>
      <c r="I270" s="48">
        <f>IF(F270="","",F270+ROUND(F270*G270,2))</f>
        <v/>
      </c>
      <c r="J270" s="14" t="n"/>
      <c r="K270" s="51">
        <f>IF(A270="","",DATE(YEAR(A270),MONTH(A270),1))</f>
        <v/>
      </c>
      <c r="L270" s="14" t="n"/>
      <c r="M270" s="52" t="n"/>
      <c r="N270" s="14" t="n"/>
    </row>
    <row r="271">
      <c r="A271" s="49" t="n"/>
      <c r="B271" s="14" t="n"/>
      <c r="C271" s="14" t="n"/>
      <c r="D271" s="14" t="n"/>
      <c r="E271" s="14" t="n"/>
      <c r="F271" s="48" t="n"/>
      <c r="G271" s="50">
        <f>IF(A271="","",Settings!$B$4)</f>
        <v/>
      </c>
      <c r="H271" s="48">
        <f>IF(F271="","",IF(J271="Yes",ROUND(F271*G271,2),0))</f>
        <v/>
      </c>
      <c r="I271" s="48">
        <f>IF(F271="","",F271+ROUND(F271*G271,2))</f>
        <v/>
      </c>
      <c r="J271" s="14" t="n"/>
      <c r="K271" s="51">
        <f>IF(A271="","",DATE(YEAR(A271),MONTH(A271),1))</f>
        <v/>
      </c>
      <c r="L271" s="14" t="n"/>
      <c r="M271" s="52" t="n"/>
      <c r="N271" s="14" t="n"/>
    </row>
    <row r="272">
      <c r="A272" s="49" t="n"/>
      <c r="B272" s="14" t="n"/>
      <c r="C272" s="14" t="n"/>
      <c r="D272" s="14" t="n"/>
      <c r="E272" s="14" t="n"/>
      <c r="F272" s="48" t="n"/>
      <c r="G272" s="50">
        <f>IF(A272="","",Settings!$B$4)</f>
        <v/>
      </c>
      <c r="H272" s="48">
        <f>IF(F272="","",IF(J272="Yes",ROUND(F272*G272,2),0))</f>
        <v/>
      </c>
      <c r="I272" s="48">
        <f>IF(F272="","",F272+ROUND(F272*G272,2))</f>
        <v/>
      </c>
      <c r="J272" s="14" t="n"/>
      <c r="K272" s="51">
        <f>IF(A272="","",DATE(YEAR(A272),MONTH(A272),1))</f>
        <v/>
      </c>
      <c r="L272" s="14" t="n"/>
      <c r="M272" s="52" t="n"/>
      <c r="N272" s="14" t="n"/>
    </row>
    <row r="273">
      <c r="A273" s="49" t="n"/>
      <c r="B273" s="14" t="n"/>
      <c r="C273" s="14" t="n"/>
      <c r="D273" s="14" t="n"/>
      <c r="E273" s="14" t="n"/>
      <c r="F273" s="48" t="n"/>
      <c r="G273" s="50">
        <f>IF(A273="","",Settings!$B$4)</f>
        <v/>
      </c>
      <c r="H273" s="48">
        <f>IF(F273="","",IF(J273="Yes",ROUND(F273*G273,2),0))</f>
        <v/>
      </c>
      <c r="I273" s="48">
        <f>IF(F273="","",F273+ROUND(F273*G273,2))</f>
        <v/>
      </c>
      <c r="J273" s="14" t="n"/>
      <c r="K273" s="51">
        <f>IF(A273="","",DATE(YEAR(A273),MONTH(A273),1))</f>
        <v/>
      </c>
      <c r="L273" s="14" t="n"/>
      <c r="M273" s="52" t="n"/>
      <c r="N273" s="14" t="n"/>
    </row>
    <row r="274">
      <c r="A274" s="49" t="n"/>
      <c r="B274" s="14" t="n"/>
      <c r="C274" s="14" t="n"/>
      <c r="D274" s="14" t="n"/>
      <c r="E274" s="14" t="n"/>
      <c r="F274" s="48" t="n"/>
      <c r="G274" s="50">
        <f>IF(A274="","",Settings!$B$4)</f>
        <v/>
      </c>
      <c r="H274" s="48">
        <f>IF(F274="","",IF(J274="Yes",ROUND(F274*G274,2),0))</f>
        <v/>
      </c>
      <c r="I274" s="48">
        <f>IF(F274="","",F274+ROUND(F274*G274,2))</f>
        <v/>
      </c>
      <c r="J274" s="14" t="n"/>
      <c r="K274" s="51">
        <f>IF(A274="","",DATE(YEAR(A274),MONTH(A274),1))</f>
        <v/>
      </c>
      <c r="L274" s="14" t="n"/>
      <c r="M274" s="52" t="n"/>
      <c r="N274" s="14" t="n"/>
    </row>
    <row r="275">
      <c r="A275" s="49" t="n"/>
      <c r="B275" s="14" t="n"/>
      <c r="C275" s="14" t="n"/>
      <c r="D275" s="14" t="n"/>
      <c r="E275" s="14" t="n"/>
      <c r="F275" s="48" t="n"/>
      <c r="G275" s="50">
        <f>IF(A275="","",Settings!$B$4)</f>
        <v/>
      </c>
      <c r="H275" s="48">
        <f>IF(F275="","",IF(J275="Yes",ROUND(F275*G275,2),0))</f>
        <v/>
      </c>
      <c r="I275" s="48">
        <f>IF(F275="","",F275+ROUND(F275*G275,2))</f>
        <v/>
      </c>
      <c r="J275" s="14" t="n"/>
      <c r="K275" s="51">
        <f>IF(A275="","",DATE(YEAR(A275),MONTH(A275),1))</f>
        <v/>
      </c>
      <c r="L275" s="14" t="n"/>
      <c r="M275" s="52" t="n"/>
      <c r="N275" s="14" t="n"/>
    </row>
    <row r="276">
      <c r="A276" s="49" t="n"/>
      <c r="B276" s="14" t="n"/>
      <c r="C276" s="14" t="n"/>
      <c r="D276" s="14" t="n"/>
      <c r="E276" s="14" t="n"/>
      <c r="F276" s="48" t="n"/>
      <c r="G276" s="50">
        <f>IF(A276="","",Settings!$B$4)</f>
        <v/>
      </c>
      <c r="H276" s="48">
        <f>IF(F276="","",IF(J276="Yes",ROUND(F276*G276,2),0))</f>
        <v/>
      </c>
      <c r="I276" s="48">
        <f>IF(F276="","",F276+ROUND(F276*G276,2))</f>
        <v/>
      </c>
      <c r="J276" s="14" t="n"/>
      <c r="K276" s="51">
        <f>IF(A276="","",DATE(YEAR(A276),MONTH(A276),1))</f>
        <v/>
      </c>
      <c r="L276" s="14" t="n"/>
      <c r="M276" s="52" t="n"/>
      <c r="N276" s="14" t="n"/>
    </row>
    <row r="277">
      <c r="A277" s="49" t="n"/>
      <c r="B277" s="14" t="n"/>
      <c r="C277" s="14" t="n"/>
      <c r="D277" s="14" t="n"/>
      <c r="E277" s="14" t="n"/>
      <c r="F277" s="48" t="n"/>
      <c r="G277" s="50">
        <f>IF(A277="","",Settings!$B$4)</f>
        <v/>
      </c>
      <c r="H277" s="48">
        <f>IF(F277="","",IF(J277="Yes",ROUND(F277*G277,2),0))</f>
        <v/>
      </c>
      <c r="I277" s="48">
        <f>IF(F277="","",F277+ROUND(F277*G277,2))</f>
        <v/>
      </c>
      <c r="J277" s="14" t="n"/>
      <c r="K277" s="51">
        <f>IF(A277="","",DATE(YEAR(A277),MONTH(A277),1))</f>
        <v/>
      </c>
      <c r="L277" s="14" t="n"/>
      <c r="M277" s="52" t="n"/>
      <c r="N277" s="14" t="n"/>
    </row>
    <row r="278">
      <c r="A278" s="49" t="n"/>
      <c r="B278" s="14" t="n"/>
      <c r="C278" s="14" t="n"/>
      <c r="D278" s="14" t="n"/>
      <c r="E278" s="14" t="n"/>
      <c r="F278" s="48" t="n"/>
      <c r="G278" s="50">
        <f>IF(A278="","",Settings!$B$4)</f>
        <v/>
      </c>
      <c r="H278" s="48">
        <f>IF(F278="","",IF(J278="Yes",ROUND(F278*G278,2),0))</f>
        <v/>
      </c>
      <c r="I278" s="48">
        <f>IF(F278="","",F278+ROUND(F278*G278,2))</f>
        <v/>
      </c>
      <c r="J278" s="14" t="n"/>
      <c r="K278" s="51">
        <f>IF(A278="","",DATE(YEAR(A278),MONTH(A278),1))</f>
        <v/>
      </c>
      <c r="L278" s="14" t="n"/>
      <c r="M278" s="52" t="n"/>
      <c r="N278" s="14" t="n"/>
    </row>
    <row r="279">
      <c r="A279" s="49" t="n"/>
      <c r="B279" s="14" t="n"/>
      <c r="C279" s="14" t="n"/>
      <c r="D279" s="14" t="n"/>
      <c r="E279" s="14" t="n"/>
      <c r="F279" s="48" t="n"/>
      <c r="G279" s="50">
        <f>IF(A279="","",Settings!$B$4)</f>
        <v/>
      </c>
      <c r="H279" s="48">
        <f>IF(F279="","",IF(J279="Yes",ROUND(F279*G279,2),0))</f>
        <v/>
      </c>
      <c r="I279" s="48">
        <f>IF(F279="","",F279+ROUND(F279*G279,2))</f>
        <v/>
      </c>
      <c r="J279" s="14" t="n"/>
      <c r="K279" s="51">
        <f>IF(A279="","",DATE(YEAR(A279),MONTH(A279),1))</f>
        <v/>
      </c>
      <c r="L279" s="14" t="n"/>
      <c r="M279" s="52" t="n"/>
      <c r="N279" s="14" t="n"/>
    </row>
    <row r="280">
      <c r="A280" s="49" t="n"/>
      <c r="B280" s="14" t="n"/>
      <c r="C280" s="14" t="n"/>
      <c r="D280" s="14" t="n"/>
      <c r="E280" s="14" t="n"/>
      <c r="F280" s="48" t="n"/>
      <c r="G280" s="50">
        <f>IF(A280="","",Settings!$B$4)</f>
        <v/>
      </c>
      <c r="H280" s="48">
        <f>IF(F280="","",IF(J280="Yes",ROUND(F280*G280,2),0))</f>
        <v/>
      </c>
      <c r="I280" s="48">
        <f>IF(F280="","",F280+ROUND(F280*G280,2))</f>
        <v/>
      </c>
      <c r="J280" s="14" t="n"/>
      <c r="K280" s="51">
        <f>IF(A280="","",DATE(YEAR(A280),MONTH(A280),1))</f>
        <v/>
      </c>
      <c r="L280" s="14" t="n"/>
      <c r="M280" s="52" t="n"/>
      <c r="N280" s="14" t="n"/>
    </row>
    <row r="281">
      <c r="A281" s="49" t="n"/>
      <c r="B281" s="14" t="n"/>
      <c r="C281" s="14" t="n"/>
      <c r="D281" s="14" t="n"/>
      <c r="E281" s="14" t="n"/>
      <c r="F281" s="48" t="n"/>
      <c r="G281" s="50">
        <f>IF(A281="","",Settings!$B$4)</f>
        <v/>
      </c>
      <c r="H281" s="48">
        <f>IF(F281="","",IF(J281="Yes",ROUND(F281*G281,2),0))</f>
        <v/>
      </c>
      <c r="I281" s="48">
        <f>IF(F281="","",F281+ROUND(F281*G281,2))</f>
        <v/>
      </c>
      <c r="J281" s="14" t="n"/>
      <c r="K281" s="51">
        <f>IF(A281="","",DATE(YEAR(A281),MONTH(A281),1))</f>
        <v/>
      </c>
      <c r="L281" s="14" t="n"/>
      <c r="M281" s="52" t="n"/>
      <c r="N281" s="14" t="n"/>
    </row>
    <row r="282">
      <c r="A282" s="49" t="n"/>
      <c r="B282" s="14" t="n"/>
      <c r="C282" s="14" t="n"/>
      <c r="D282" s="14" t="n"/>
      <c r="E282" s="14" t="n"/>
      <c r="F282" s="48" t="n"/>
      <c r="G282" s="50">
        <f>IF(A282="","",Settings!$B$4)</f>
        <v/>
      </c>
      <c r="H282" s="48">
        <f>IF(F282="","",IF(J282="Yes",ROUND(F282*G282,2),0))</f>
        <v/>
      </c>
      <c r="I282" s="48">
        <f>IF(F282="","",F282+ROUND(F282*G282,2))</f>
        <v/>
      </c>
      <c r="J282" s="14" t="n"/>
      <c r="K282" s="51">
        <f>IF(A282="","",DATE(YEAR(A282),MONTH(A282),1))</f>
        <v/>
      </c>
      <c r="L282" s="14" t="n"/>
      <c r="M282" s="52" t="n"/>
      <c r="N282" s="14" t="n"/>
    </row>
    <row r="283">
      <c r="A283" s="49" t="n"/>
      <c r="B283" s="14" t="n"/>
      <c r="C283" s="14" t="n"/>
      <c r="D283" s="14" t="n"/>
      <c r="E283" s="14" t="n"/>
      <c r="F283" s="48" t="n"/>
      <c r="G283" s="50">
        <f>IF(A283="","",Settings!$B$4)</f>
        <v/>
      </c>
      <c r="H283" s="48">
        <f>IF(F283="","",IF(J283="Yes",ROUND(F283*G283,2),0))</f>
        <v/>
      </c>
      <c r="I283" s="48">
        <f>IF(F283="","",F283+ROUND(F283*G283,2))</f>
        <v/>
      </c>
      <c r="J283" s="14" t="n"/>
      <c r="K283" s="51">
        <f>IF(A283="","",DATE(YEAR(A283),MONTH(A283),1))</f>
        <v/>
      </c>
      <c r="L283" s="14" t="n"/>
      <c r="M283" s="52" t="n"/>
      <c r="N283" s="14" t="n"/>
    </row>
    <row r="284">
      <c r="A284" s="49" t="n"/>
      <c r="B284" s="14" t="n"/>
      <c r="C284" s="14" t="n"/>
      <c r="D284" s="14" t="n"/>
      <c r="E284" s="14" t="n"/>
      <c r="F284" s="48" t="n"/>
      <c r="G284" s="50">
        <f>IF(A284="","",Settings!$B$4)</f>
        <v/>
      </c>
      <c r="H284" s="48">
        <f>IF(F284="","",IF(J284="Yes",ROUND(F284*G284,2),0))</f>
        <v/>
      </c>
      <c r="I284" s="48">
        <f>IF(F284="","",F284+ROUND(F284*G284,2))</f>
        <v/>
      </c>
      <c r="J284" s="14" t="n"/>
      <c r="K284" s="51">
        <f>IF(A284="","",DATE(YEAR(A284),MONTH(A284),1))</f>
        <v/>
      </c>
      <c r="L284" s="14" t="n"/>
      <c r="M284" s="52" t="n"/>
      <c r="N284" s="14" t="n"/>
    </row>
    <row r="285">
      <c r="A285" s="49" t="n"/>
      <c r="B285" s="14" t="n"/>
      <c r="C285" s="14" t="n"/>
      <c r="D285" s="14" t="n"/>
      <c r="E285" s="14" t="n"/>
      <c r="F285" s="48" t="n"/>
      <c r="G285" s="50">
        <f>IF(A285="","",Settings!$B$4)</f>
        <v/>
      </c>
      <c r="H285" s="48">
        <f>IF(F285="","",IF(J285="Yes",ROUND(F285*G285,2),0))</f>
        <v/>
      </c>
      <c r="I285" s="48">
        <f>IF(F285="","",F285+ROUND(F285*G285,2))</f>
        <v/>
      </c>
      <c r="J285" s="14" t="n"/>
      <c r="K285" s="51">
        <f>IF(A285="","",DATE(YEAR(A285),MONTH(A285),1))</f>
        <v/>
      </c>
      <c r="L285" s="14" t="n"/>
      <c r="M285" s="52" t="n"/>
      <c r="N285" s="14" t="n"/>
    </row>
    <row r="286">
      <c r="A286" s="49" t="n"/>
      <c r="B286" s="14" t="n"/>
      <c r="C286" s="14" t="n"/>
      <c r="D286" s="14" t="n"/>
      <c r="E286" s="14" t="n"/>
      <c r="F286" s="48" t="n"/>
      <c r="G286" s="50">
        <f>IF(A286="","",Settings!$B$4)</f>
        <v/>
      </c>
      <c r="H286" s="48">
        <f>IF(F286="","",IF(J286="Yes",ROUND(F286*G286,2),0))</f>
        <v/>
      </c>
      <c r="I286" s="48">
        <f>IF(F286="","",F286+ROUND(F286*G286,2))</f>
        <v/>
      </c>
      <c r="J286" s="14" t="n"/>
      <c r="K286" s="51">
        <f>IF(A286="","",DATE(YEAR(A286),MONTH(A286),1))</f>
        <v/>
      </c>
      <c r="L286" s="14" t="n"/>
      <c r="M286" s="52" t="n"/>
      <c r="N286" s="14" t="n"/>
    </row>
    <row r="287">
      <c r="A287" s="49" t="n"/>
      <c r="B287" s="14" t="n"/>
      <c r="C287" s="14" t="n"/>
      <c r="D287" s="14" t="n"/>
      <c r="E287" s="14" t="n"/>
      <c r="F287" s="48" t="n"/>
      <c r="G287" s="50">
        <f>IF(A287="","",Settings!$B$4)</f>
        <v/>
      </c>
      <c r="H287" s="48">
        <f>IF(F287="","",IF(J287="Yes",ROUND(F287*G287,2),0))</f>
        <v/>
      </c>
      <c r="I287" s="48">
        <f>IF(F287="","",F287+ROUND(F287*G287,2))</f>
        <v/>
      </c>
      <c r="J287" s="14" t="n"/>
      <c r="K287" s="51">
        <f>IF(A287="","",DATE(YEAR(A287),MONTH(A287),1))</f>
        <v/>
      </c>
      <c r="L287" s="14" t="n"/>
      <c r="M287" s="52" t="n"/>
      <c r="N287" s="14" t="n"/>
    </row>
    <row r="288">
      <c r="A288" s="49" t="n"/>
      <c r="B288" s="14" t="n"/>
      <c r="C288" s="14" t="n"/>
      <c r="D288" s="14" t="n"/>
      <c r="E288" s="14" t="n"/>
      <c r="F288" s="48" t="n"/>
      <c r="G288" s="50">
        <f>IF(A288="","",Settings!$B$4)</f>
        <v/>
      </c>
      <c r="H288" s="48">
        <f>IF(F288="","",IF(J288="Yes",ROUND(F288*G288,2),0))</f>
        <v/>
      </c>
      <c r="I288" s="48">
        <f>IF(F288="","",F288+ROUND(F288*G288,2))</f>
        <v/>
      </c>
      <c r="J288" s="14" t="n"/>
      <c r="K288" s="51">
        <f>IF(A288="","",DATE(YEAR(A288),MONTH(A288),1))</f>
        <v/>
      </c>
      <c r="L288" s="14" t="n"/>
      <c r="M288" s="52" t="n"/>
      <c r="N288" s="14" t="n"/>
    </row>
    <row r="289">
      <c r="A289" s="49" t="n"/>
      <c r="B289" s="14" t="n"/>
      <c r="C289" s="14" t="n"/>
      <c r="D289" s="14" t="n"/>
      <c r="E289" s="14" t="n"/>
      <c r="F289" s="48" t="n"/>
      <c r="G289" s="50">
        <f>IF(A289="","",Settings!$B$4)</f>
        <v/>
      </c>
      <c r="H289" s="48">
        <f>IF(F289="","",IF(J289="Yes",ROUND(F289*G289,2),0))</f>
        <v/>
      </c>
      <c r="I289" s="48">
        <f>IF(F289="","",F289+ROUND(F289*G289,2))</f>
        <v/>
      </c>
      <c r="J289" s="14" t="n"/>
      <c r="K289" s="51">
        <f>IF(A289="","",DATE(YEAR(A289),MONTH(A289),1))</f>
        <v/>
      </c>
      <c r="L289" s="14" t="n"/>
      <c r="M289" s="52" t="n"/>
      <c r="N289" s="14" t="n"/>
    </row>
    <row r="290">
      <c r="A290" s="49" t="n"/>
      <c r="B290" s="14" t="n"/>
      <c r="C290" s="14" t="n"/>
      <c r="D290" s="14" t="n"/>
      <c r="E290" s="14" t="n"/>
      <c r="F290" s="48" t="n"/>
      <c r="G290" s="50">
        <f>IF(A290="","",Settings!$B$4)</f>
        <v/>
      </c>
      <c r="H290" s="48">
        <f>IF(F290="","",IF(J290="Yes",ROUND(F290*G290,2),0))</f>
        <v/>
      </c>
      <c r="I290" s="48">
        <f>IF(F290="","",F290+ROUND(F290*G290,2))</f>
        <v/>
      </c>
      <c r="J290" s="14" t="n"/>
      <c r="K290" s="51">
        <f>IF(A290="","",DATE(YEAR(A290),MONTH(A290),1))</f>
        <v/>
      </c>
      <c r="L290" s="14" t="n"/>
      <c r="M290" s="52" t="n"/>
      <c r="N290" s="14" t="n"/>
    </row>
    <row r="291">
      <c r="A291" s="49" t="n"/>
      <c r="B291" s="14" t="n"/>
      <c r="C291" s="14" t="n"/>
      <c r="D291" s="14" t="n"/>
      <c r="E291" s="14" t="n"/>
      <c r="F291" s="48" t="n"/>
      <c r="G291" s="50">
        <f>IF(A291="","",Settings!$B$4)</f>
        <v/>
      </c>
      <c r="H291" s="48">
        <f>IF(F291="","",IF(J291="Yes",ROUND(F291*G291,2),0))</f>
        <v/>
      </c>
      <c r="I291" s="48">
        <f>IF(F291="","",F291+ROUND(F291*G291,2))</f>
        <v/>
      </c>
      <c r="J291" s="14" t="n"/>
      <c r="K291" s="51">
        <f>IF(A291="","",DATE(YEAR(A291),MONTH(A291),1))</f>
        <v/>
      </c>
      <c r="L291" s="14" t="n"/>
      <c r="M291" s="52" t="n"/>
      <c r="N291" s="14" t="n"/>
    </row>
    <row r="292">
      <c r="A292" s="49" t="n"/>
      <c r="B292" s="14" t="n"/>
      <c r="C292" s="14" t="n"/>
      <c r="D292" s="14" t="n"/>
      <c r="E292" s="14" t="n"/>
      <c r="F292" s="48" t="n"/>
      <c r="G292" s="50">
        <f>IF(A292="","",Settings!$B$4)</f>
        <v/>
      </c>
      <c r="H292" s="48">
        <f>IF(F292="","",IF(J292="Yes",ROUND(F292*G292,2),0))</f>
        <v/>
      </c>
      <c r="I292" s="48">
        <f>IF(F292="","",F292+ROUND(F292*G292,2))</f>
        <v/>
      </c>
      <c r="J292" s="14" t="n"/>
      <c r="K292" s="51">
        <f>IF(A292="","",DATE(YEAR(A292),MONTH(A292),1))</f>
        <v/>
      </c>
      <c r="L292" s="14" t="n"/>
      <c r="M292" s="52" t="n"/>
      <c r="N292" s="14" t="n"/>
    </row>
    <row r="293">
      <c r="A293" s="49" t="n"/>
      <c r="B293" s="14" t="n"/>
      <c r="C293" s="14" t="n"/>
      <c r="D293" s="14" t="n"/>
      <c r="E293" s="14" t="n"/>
      <c r="F293" s="48" t="n"/>
      <c r="G293" s="50">
        <f>IF(A293="","",Settings!$B$4)</f>
        <v/>
      </c>
      <c r="H293" s="48">
        <f>IF(F293="","",IF(J293="Yes",ROUND(F293*G293,2),0))</f>
        <v/>
      </c>
      <c r="I293" s="48">
        <f>IF(F293="","",F293+ROUND(F293*G293,2))</f>
        <v/>
      </c>
      <c r="J293" s="14" t="n"/>
      <c r="K293" s="51">
        <f>IF(A293="","",DATE(YEAR(A293),MONTH(A293),1))</f>
        <v/>
      </c>
      <c r="L293" s="14" t="n"/>
      <c r="M293" s="52" t="n"/>
      <c r="N293" s="14" t="n"/>
    </row>
    <row r="294">
      <c r="A294" s="49" t="n"/>
      <c r="B294" s="14" t="n"/>
      <c r="C294" s="14" t="n"/>
      <c r="D294" s="14" t="n"/>
      <c r="E294" s="14" t="n"/>
      <c r="F294" s="48" t="n"/>
      <c r="G294" s="50">
        <f>IF(A294="","",Settings!$B$4)</f>
        <v/>
      </c>
      <c r="H294" s="48">
        <f>IF(F294="","",IF(J294="Yes",ROUND(F294*G294,2),0))</f>
        <v/>
      </c>
      <c r="I294" s="48">
        <f>IF(F294="","",F294+ROUND(F294*G294,2))</f>
        <v/>
      </c>
      <c r="J294" s="14" t="n"/>
      <c r="K294" s="51">
        <f>IF(A294="","",DATE(YEAR(A294),MONTH(A294),1))</f>
        <v/>
      </c>
      <c r="L294" s="14" t="n"/>
      <c r="M294" s="52" t="n"/>
      <c r="N294" s="14" t="n"/>
    </row>
    <row r="295">
      <c r="A295" s="49" t="n"/>
      <c r="B295" s="14" t="n"/>
      <c r="C295" s="14" t="n"/>
      <c r="D295" s="14" t="n"/>
      <c r="E295" s="14" t="n"/>
      <c r="F295" s="48" t="n"/>
      <c r="G295" s="50">
        <f>IF(A295="","",Settings!$B$4)</f>
        <v/>
      </c>
      <c r="H295" s="48">
        <f>IF(F295="","",IF(J295="Yes",ROUND(F295*G295,2),0))</f>
        <v/>
      </c>
      <c r="I295" s="48">
        <f>IF(F295="","",F295+ROUND(F295*G295,2))</f>
        <v/>
      </c>
      <c r="J295" s="14" t="n"/>
      <c r="K295" s="51">
        <f>IF(A295="","",DATE(YEAR(A295),MONTH(A295),1))</f>
        <v/>
      </c>
      <c r="L295" s="14" t="n"/>
      <c r="M295" s="52" t="n"/>
      <c r="N295" s="14" t="n"/>
    </row>
    <row r="296">
      <c r="A296" s="49" t="n"/>
      <c r="B296" s="14" t="n"/>
      <c r="C296" s="14" t="n"/>
      <c r="D296" s="14" t="n"/>
      <c r="E296" s="14" t="n"/>
      <c r="F296" s="48" t="n"/>
      <c r="G296" s="50">
        <f>IF(A296="","",Settings!$B$4)</f>
        <v/>
      </c>
      <c r="H296" s="48">
        <f>IF(F296="","",IF(J296="Yes",ROUND(F296*G296,2),0))</f>
        <v/>
      </c>
      <c r="I296" s="48">
        <f>IF(F296="","",F296+ROUND(F296*G296,2))</f>
        <v/>
      </c>
      <c r="J296" s="14" t="n"/>
      <c r="K296" s="51">
        <f>IF(A296="","",DATE(YEAR(A296),MONTH(A296),1))</f>
        <v/>
      </c>
      <c r="L296" s="14" t="n"/>
      <c r="M296" s="52" t="n"/>
      <c r="N296" s="14" t="n"/>
    </row>
    <row r="297">
      <c r="A297" s="49" t="n"/>
      <c r="B297" s="14" t="n"/>
      <c r="C297" s="14" t="n"/>
      <c r="D297" s="14" t="n"/>
      <c r="E297" s="14" t="n"/>
      <c r="F297" s="48" t="n"/>
      <c r="G297" s="50">
        <f>IF(A297="","",Settings!$B$4)</f>
        <v/>
      </c>
      <c r="H297" s="48">
        <f>IF(F297="","",IF(J297="Yes",ROUND(F297*G297,2),0))</f>
        <v/>
      </c>
      <c r="I297" s="48">
        <f>IF(F297="","",F297+ROUND(F297*G297,2))</f>
        <v/>
      </c>
      <c r="J297" s="14" t="n"/>
      <c r="K297" s="51">
        <f>IF(A297="","",DATE(YEAR(A297),MONTH(A297),1))</f>
        <v/>
      </c>
      <c r="L297" s="14" t="n"/>
      <c r="M297" s="52" t="n"/>
      <c r="N297" s="14" t="n"/>
    </row>
    <row r="298">
      <c r="A298" s="49" t="n"/>
      <c r="B298" s="14" t="n"/>
      <c r="C298" s="14" t="n"/>
      <c r="D298" s="14" t="n"/>
      <c r="E298" s="14" t="n"/>
      <c r="F298" s="48" t="n"/>
      <c r="G298" s="50">
        <f>IF(A298="","",Settings!$B$4)</f>
        <v/>
      </c>
      <c r="H298" s="48">
        <f>IF(F298="","",IF(J298="Yes",ROUND(F298*G298,2),0))</f>
        <v/>
      </c>
      <c r="I298" s="48">
        <f>IF(F298="","",F298+ROUND(F298*G298,2))</f>
        <v/>
      </c>
      <c r="J298" s="14" t="n"/>
      <c r="K298" s="51">
        <f>IF(A298="","",DATE(YEAR(A298),MONTH(A298),1))</f>
        <v/>
      </c>
      <c r="L298" s="14" t="n"/>
      <c r="M298" s="52" t="n"/>
      <c r="N298" s="14" t="n"/>
    </row>
    <row r="299">
      <c r="A299" s="49" t="n"/>
      <c r="B299" s="14" t="n"/>
      <c r="C299" s="14" t="n"/>
      <c r="D299" s="14" t="n"/>
      <c r="E299" s="14" t="n"/>
      <c r="F299" s="48" t="n"/>
      <c r="G299" s="50">
        <f>IF(A299="","",Settings!$B$4)</f>
        <v/>
      </c>
      <c r="H299" s="48">
        <f>IF(F299="","",IF(J299="Yes",ROUND(F299*G299,2),0))</f>
        <v/>
      </c>
      <c r="I299" s="48">
        <f>IF(F299="","",F299+ROUND(F299*G299,2))</f>
        <v/>
      </c>
      <c r="J299" s="14" t="n"/>
      <c r="K299" s="51">
        <f>IF(A299="","",DATE(YEAR(A299),MONTH(A299),1))</f>
        <v/>
      </c>
      <c r="L299" s="14" t="n"/>
      <c r="M299" s="52" t="n"/>
      <c r="N299" s="14" t="n"/>
    </row>
    <row r="300">
      <c r="A300" s="49" t="n"/>
      <c r="B300" s="14" t="n"/>
      <c r="C300" s="14" t="n"/>
      <c r="D300" s="14" t="n"/>
      <c r="E300" s="14" t="n"/>
      <c r="F300" s="48" t="n"/>
      <c r="G300" s="50">
        <f>IF(A300="","",Settings!$B$4)</f>
        <v/>
      </c>
      <c r="H300" s="48">
        <f>IF(F300="","",IF(J300="Yes",ROUND(F300*G300,2),0))</f>
        <v/>
      </c>
      <c r="I300" s="48">
        <f>IF(F300="","",F300+ROUND(F300*G300,2))</f>
        <v/>
      </c>
      <c r="J300" s="14" t="n"/>
      <c r="K300" s="51">
        <f>IF(A300="","",DATE(YEAR(A300),MONTH(A300),1))</f>
        <v/>
      </c>
      <c r="L300" s="14" t="n"/>
      <c r="M300" s="52" t="n"/>
      <c r="N300" s="14" t="n"/>
    </row>
    <row r="301">
      <c r="A301" s="49" t="n"/>
      <c r="B301" s="14" t="n"/>
      <c r="C301" s="14" t="n"/>
      <c r="D301" s="14" t="n"/>
      <c r="E301" s="14" t="n"/>
      <c r="F301" s="48" t="n"/>
      <c r="G301" s="50">
        <f>IF(A301="","",Settings!$B$4)</f>
        <v/>
      </c>
      <c r="H301" s="48">
        <f>IF(F301="","",IF(J301="Yes",ROUND(F301*G301,2),0))</f>
        <v/>
      </c>
      <c r="I301" s="48">
        <f>IF(F301="","",F301+ROUND(F301*G301,2))</f>
        <v/>
      </c>
      <c r="J301" s="14" t="n"/>
      <c r="K301" s="51">
        <f>IF(A301="","",DATE(YEAR(A301),MONTH(A301),1))</f>
        <v/>
      </c>
      <c r="L301" s="14" t="n"/>
      <c r="M301" s="52" t="n"/>
      <c r="N301" s="14" t="n"/>
    </row>
    <row r="302">
      <c r="A302" s="49" t="n"/>
      <c r="B302" s="14" t="n"/>
      <c r="C302" s="14" t="n"/>
      <c r="D302" s="14" t="n"/>
      <c r="E302" s="14" t="n"/>
      <c r="F302" s="48" t="n"/>
      <c r="G302" s="50">
        <f>IF(A302="","",Settings!$B$4)</f>
        <v/>
      </c>
      <c r="H302" s="48">
        <f>IF(F302="","",IF(J302="Yes",ROUND(F302*G302,2),0))</f>
        <v/>
      </c>
      <c r="I302" s="48">
        <f>IF(F302="","",F302+ROUND(F302*G302,2))</f>
        <v/>
      </c>
      <c r="J302" s="14" t="n"/>
      <c r="K302" s="51">
        <f>IF(A302="","",DATE(YEAR(A302),MONTH(A302),1))</f>
        <v/>
      </c>
      <c r="L302" s="14" t="n"/>
      <c r="M302" s="52" t="n"/>
      <c r="N302" s="14" t="n"/>
    </row>
    <row r="303">
      <c r="A303" s="49" t="n"/>
      <c r="B303" s="14" t="n"/>
      <c r="C303" s="14" t="n"/>
      <c r="D303" s="14" t="n"/>
      <c r="E303" s="14" t="n"/>
      <c r="F303" s="48" t="n"/>
      <c r="G303" s="50">
        <f>IF(A303="","",Settings!$B$4)</f>
        <v/>
      </c>
      <c r="H303" s="48">
        <f>IF(F303="","",IF(J303="Yes",ROUND(F303*G303,2),0))</f>
        <v/>
      </c>
      <c r="I303" s="48">
        <f>IF(F303="","",F303+ROUND(F303*G303,2))</f>
        <v/>
      </c>
      <c r="J303" s="14" t="n"/>
      <c r="K303" s="51">
        <f>IF(A303="","",DATE(YEAR(A303),MONTH(A303),1))</f>
        <v/>
      </c>
      <c r="L303" s="14" t="n"/>
      <c r="M303" s="52" t="n"/>
      <c r="N303" s="14" t="n"/>
    </row>
  </sheetData>
  <mergeCells count="1">
    <mergeCell ref="A1:N1"/>
  </mergeCells>
  <dataValidations count="4">
    <dataValidation sqref="E4:E303" showDropDown="0" showInputMessage="0" showErrorMessage="0" allowBlank="0" type="list">
      <formula1>Settings!$A$12:$A$19</formula1>
    </dataValidation>
    <dataValidation sqref="J4:J303" showDropDown="0" showInputMessage="0" showErrorMessage="0" allowBlank="0" type="list">
      <formula1>"Yes,No"</formula1>
    </dataValidation>
    <dataValidation sqref="O4:O303" showDropDown="0" showInputMessage="0" showErrorMessage="0" allowBlank="1" type="list">
      <formula1>=Settings!$F$4:$F$7</formula1>
    </dataValidation>
    <dataValidation sqref="O4:O303" showDropDown="0" showInputMessage="0" showErrorMessage="0" allowBlank="1" type="list">
      <formula1>=Settings!$F$4:$F$7</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N277"/>
  <sheetViews>
    <sheetView showGridLines="0" workbookViewId="0">
      <pane ySplit="3" topLeftCell="A4" activePane="bottomLeft" state="frozen"/>
      <selection pane="bottomLeft" activeCell="A1" sqref="A1"/>
    </sheetView>
  </sheetViews>
  <sheetFormatPr baseColWidth="8" defaultRowHeight="15"/>
  <cols>
    <col width="13" customWidth="1" min="1" max="1"/>
    <col width="20" customWidth="1" min="2" max="2"/>
    <col width="22" customWidth="1" min="3" max="3"/>
    <col width="30" customWidth="1" min="4" max="4"/>
    <col width="18" customWidth="1" min="5" max="5"/>
    <col width="15" customWidth="1" min="6" max="6"/>
    <col width="11" customWidth="1" min="7" max="7"/>
    <col width="14" customWidth="1" min="8" max="8"/>
    <col width="14" customWidth="1" min="9" max="9"/>
    <col width="15" customWidth="1" min="10" max="10"/>
    <col width="13" customWidth="1" min="11" max="11"/>
    <col width="28" customWidth="1" min="12" max="12"/>
    <col width="14" customWidth="1" min="13" max="13"/>
    <col width="28" customWidth="1" min="14" max="14"/>
  </cols>
  <sheetData>
    <row r="1" ht="26" customHeight="1">
      <c r="A1" s="57" t="inlineStr">
        <is>
          <t>Expense Entry by Month - บันทึกค่าใช้จ่ายรายรายการครบ 12 เดือน</t>
        </is>
      </c>
    </row>
    <row r="3">
      <c r="A3" s="58" t="inlineStr">
        <is>
          <t>January 2026 / เดือน Jan</t>
        </is>
      </c>
    </row>
    <row r="4">
      <c r="A4" s="59" t="inlineStr">
        <is>
          <t>วันที่</t>
        </is>
      </c>
      <c r="B4" s="59" t="inlineStr">
        <is>
          <t>เลขที่บิล/ใบกำกับ</t>
        </is>
      </c>
      <c r="C4" s="59" t="inlineStr">
        <is>
          <t>ผู้ขาย</t>
        </is>
      </c>
      <c r="D4" s="59" t="inlineStr">
        <is>
          <t>รายละเอียด</t>
        </is>
      </c>
      <c r="E4" s="59" t="inlineStr">
        <is>
          <t>หมวด</t>
        </is>
      </c>
      <c r="F4" s="59" t="inlineStr">
        <is>
          <t>ยอดก่อน VAT</t>
        </is>
      </c>
      <c r="G4" s="59" t="inlineStr">
        <is>
          <t>อัตรา VAT</t>
        </is>
      </c>
      <c r="H4" s="59" t="inlineStr">
        <is>
          <t>ภาษีซื้อ</t>
        </is>
      </c>
      <c r="I4" s="59" t="inlineStr">
        <is>
          <t>ยอดรวม</t>
        </is>
      </c>
      <c r="J4" s="59" t="inlineStr">
        <is>
          <t>ขอคืน VAT ได้?</t>
        </is>
      </c>
      <c r="K4" s="59" t="inlineStr">
        <is>
          <t>เดือน</t>
        </is>
      </c>
      <c r="L4" s="59" t="inlineStr">
        <is>
          <t>ไฟล์บิล</t>
        </is>
      </c>
      <c r="M4" s="59" t="inlineStr">
        <is>
          <t>OCR Confidence</t>
        </is>
      </c>
      <c r="N4" s="59" t="inlineStr">
        <is>
          <t>หมายเหตุ</t>
        </is>
      </c>
    </row>
    <row r="5">
      <c r="A5" s="60" t="n"/>
      <c r="B5" s="61" t="n"/>
      <c r="C5" s="61" t="n"/>
      <c r="D5" s="61" t="n"/>
      <c r="E5" s="61" t="n"/>
      <c r="F5" s="62" t="n"/>
      <c r="G5" s="63">
        <f>IF(A5="","",Settings!$B$4)</f>
        <v/>
      </c>
      <c r="H5" s="62">
        <f>IF(F5="","",IF(J5="Yes",ROUND(F5*G5,2),0))</f>
        <v/>
      </c>
      <c r="I5" s="62">
        <f>IF(F5="","",F5+ROUND(F5*G5,2))</f>
        <v/>
      </c>
      <c r="J5" s="61" t="n"/>
      <c r="K5" s="64">
        <f>IF(A5="","",DATE(YEAR(A5),MONTH(A5),1))</f>
        <v/>
      </c>
      <c r="L5" s="61" t="n"/>
      <c r="M5" s="65" t="n"/>
      <c r="N5" s="61" t="n"/>
    </row>
    <row r="6">
      <c r="A6" s="60" t="n"/>
      <c r="B6" s="61" t="n"/>
      <c r="C6" s="61" t="n"/>
      <c r="D6" s="61" t="n"/>
      <c r="E6" s="61" t="n"/>
      <c r="F6" s="62" t="n"/>
      <c r="G6" s="63">
        <f>IF(A6="","",Settings!$B$4)</f>
        <v/>
      </c>
      <c r="H6" s="62">
        <f>IF(F6="","",IF(J6="Yes",ROUND(F6*G6,2),0))</f>
        <v/>
      </c>
      <c r="I6" s="62">
        <f>IF(F6="","",F6+ROUND(F6*G6,2))</f>
        <v/>
      </c>
      <c r="J6" s="61" t="n"/>
      <c r="K6" s="64">
        <f>IF(A6="","",DATE(YEAR(A6),MONTH(A6),1))</f>
        <v/>
      </c>
      <c r="L6" s="61" t="n"/>
      <c r="M6" s="65" t="n"/>
      <c r="N6" s="61" t="n"/>
    </row>
    <row r="7">
      <c r="A7" s="60" t="n"/>
      <c r="B7" s="61" t="n"/>
      <c r="C7" s="61" t="n"/>
      <c r="D7" s="61" t="n"/>
      <c r="E7" s="61" t="n"/>
      <c r="F7" s="62" t="n"/>
      <c r="G7" s="63">
        <f>IF(A7="","",Settings!$B$4)</f>
        <v/>
      </c>
      <c r="H7" s="62">
        <f>IF(F7="","",IF(J7="Yes",ROUND(F7*G7,2),0))</f>
        <v/>
      </c>
      <c r="I7" s="62">
        <f>IF(F7="","",F7+ROUND(F7*G7,2))</f>
        <v/>
      </c>
      <c r="J7" s="61" t="n"/>
      <c r="K7" s="64">
        <f>IF(A7="","",DATE(YEAR(A7),MONTH(A7),1))</f>
        <v/>
      </c>
      <c r="L7" s="61" t="n"/>
      <c r="M7" s="65" t="n"/>
      <c r="N7" s="61" t="n"/>
    </row>
    <row r="8">
      <c r="A8" s="60" t="n"/>
      <c r="B8" s="61" t="n"/>
      <c r="C8" s="61" t="n"/>
      <c r="D8" s="61" t="n"/>
      <c r="E8" s="61" t="n"/>
      <c r="F8" s="62" t="n"/>
      <c r="G8" s="63">
        <f>IF(A8="","",Settings!$B$4)</f>
        <v/>
      </c>
      <c r="H8" s="62">
        <f>IF(F8="","",IF(J8="Yes",ROUND(F8*G8,2),0))</f>
        <v/>
      </c>
      <c r="I8" s="62">
        <f>IF(F8="","",F8+ROUND(F8*G8,2))</f>
        <v/>
      </c>
      <c r="J8" s="61" t="n"/>
      <c r="K8" s="64">
        <f>IF(A8="","",DATE(YEAR(A8),MONTH(A8),1))</f>
        <v/>
      </c>
      <c r="L8" s="61" t="n"/>
      <c r="M8" s="65" t="n"/>
      <c r="N8" s="61" t="n"/>
    </row>
    <row r="9">
      <c r="A9" s="60" t="n"/>
      <c r="B9" s="61" t="n"/>
      <c r="C9" s="61" t="n"/>
      <c r="D9" s="61" t="n"/>
      <c r="E9" s="61" t="n"/>
      <c r="F9" s="62" t="n"/>
      <c r="G9" s="63">
        <f>IF(A9="","",Settings!$B$4)</f>
        <v/>
      </c>
      <c r="H9" s="62">
        <f>IF(F9="","",IF(J9="Yes",ROUND(F9*G9,2),0))</f>
        <v/>
      </c>
      <c r="I9" s="62">
        <f>IF(F9="","",F9+ROUND(F9*G9,2))</f>
        <v/>
      </c>
      <c r="J9" s="61" t="n"/>
      <c r="K9" s="64">
        <f>IF(A9="","",DATE(YEAR(A9),MONTH(A9),1))</f>
        <v/>
      </c>
      <c r="L9" s="61" t="n"/>
      <c r="M9" s="65" t="n"/>
      <c r="N9" s="61" t="n"/>
    </row>
    <row r="10">
      <c r="A10" s="60" t="n"/>
      <c r="B10" s="61" t="n"/>
      <c r="C10" s="61" t="n"/>
      <c r="D10" s="61" t="n"/>
      <c r="E10" s="61" t="n"/>
      <c r="F10" s="62" t="n"/>
      <c r="G10" s="63">
        <f>IF(A10="","",Settings!$B$4)</f>
        <v/>
      </c>
      <c r="H10" s="62">
        <f>IF(F10="","",IF(J10="Yes",ROUND(F10*G10,2),0))</f>
        <v/>
      </c>
      <c r="I10" s="62">
        <f>IF(F10="","",F10+ROUND(F10*G10,2))</f>
        <v/>
      </c>
      <c r="J10" s="61" t="n"/>
      <c r="K10" s="64">
        <f>IF(A10="","",DATE(YEAR(A10),MONTH(A10),1))</f>
        <v/>
      </c>
      <c r="L10" s="61" t="n"/>
      <c r="M10" s="65" t="n"/>
      <c r="N10" s="61" t="n"/>
    </row>
    <row r="11">
      <c r="A11" s="60" t="n"/>
      <c r="B11" s="61" t="n"/>
      <c r="C11" s="61" t="n"/>
      <c r="D11" s="61" t="n"/>
      <c r="E11" s="61" t="n"/>
      <c r="F11" s="62" t="n"/>
      <c r="G11" s="63">
        <f>IF(A11="","",Settings!$B$4)</f>
        <v/>
      </c>
      <c r="H11" s="62">
        <f>IF(F11="","",IF(J11="Yes",ROUND(F11*G11,2),0))</f>
        <v/>
      </c>
      <c r="I11" s="62">
        <f>IF(F11="","",F11+ROUND(F11*G11,2))</f>
        <v/>
      </c>
      <c r="J11" s="61" t="n"/>
      <c r="K11" s="64">
        <f>IF(A11="","",DATE(YEAR(A11),MONTH(A11),1))</f>
        <v/>
      </c>
      <c r="L11" s="61" t="n"/>
      <c r="M11" s="65" t="n"/>
      <c r="N11" s="61" t="n"/>
    </row>
    <row r="12">
      <c r="A12" s="60" t="n"/>
      <c r="B12" s="61" t="n"/>
      <c r="C12" s="61" t="n"/>
      <c r="D12" s="61" t="n"/>
      <c r="E12" s="61" t="n"/>
      <c r="F12" s="62" t="n"/>
      <c r="G12" s="63">
        <f>IF(A12="","",Settings!$B$4)</f>
        <v/>
      </c>
      <c r="H12" s="62">
        <f>IF(F12="","",IF(J12="Yes",ROUND(F12*G12,2),0))</f>
        <v/>
      </c>
      <c r="I12" s="62">
        <f>IF(F12="","",F12+ROUND(F12*G12,2))</f>
        <v/>
      </c>
      <c r="J12" s="61" t="n"/>
      <c r="K12" s="64">
        <f>IF(A12="","",DATE(YEAR(A12),MONTH(A12),1))</f>
        <v/>
      </c>
      <c r="L12" s="61" t="n"/>
      <c r="M12" s="65" t="n"/>
      <c r="N12" s="61" t="n"/>
    </row>
    <row r="13">
      <c r="A13" s="60" t="n"/>
      <c r="B13" s="61" t="n"/>
      <c r="C13" s="61" t="n"/>
      <c r="D13" s="61" t="n"/>
      <c r="E13" s="61" t="n"/>
      <c r="F13" s="62" t="n"/>
      <c r="G13" s="63">
        <f>IF(A13="","",Settings!$B$4)</f>
        <v/>
      </c>
      <c r="H13" s="62">
        <f>IF(F13="","",IF(J13="Yes",ROUND(F13*G13,2),0))</f>
        <v/>
      </c>
      <c r="I13" s="62">
        <f>IF(F13="","",F13+ROUND(F13*G13,2))</f>
        <v/>
      </c>
      <c r="J13" s="61" t="n"/>
      <c r="K13" s="64">
        <f>IF(A13="","",DATE(YEAR(A13),MONTH(A13),1))</f>
        <v/>
      </c>
      <c r="L13" s="61" t="n"/>
      <c r="M13" s="65" t="n"/>
      <c r="N13" s="61" t="n"/>
    </row>
    <row r="14">
      <c r="A14" s="60" t="n"/>
      <c r="B14" s="61" t="n"/>
      <c r="C14" s="61" t="n"/>
      <c r="D14" s="61" t="n"/>
      <c r="E14" s="61" t="n"/>
      <c r="F14" s="62" t="n"/>
      <c r="G14" s="63">
        <f>IF(A14="","",Settings!$B$4)</f>
        <v/>
      </c>
      <c r="H14" s="62">
        <f>IF(F14="","",IF(J14="Yes",ROUND(F14*G14,2),0))</f>
        <v/>
      </c>
      <c r="I14" s="62">
        <f>IF(F14="","",F14+ROUND(F14*G14,2))</f>
        <v/>
      </c>
      <c r="J14" s="61" t="n"/>
      <c r="K14" s="64">
        <f>IF(A14="","",DATE(YEAR(A14),MONTH(A14),1))</f>
        <v/>
      </c>
      <c r="L14" s="61" t="n"/>
      <c r="M14" s="65" t="n"/>
      <c r="N14" s="61" t="n"/>
    </row>
    <row r="15">
      <c r="A15" s="60" t="n"/>
      <c r="B15" s="61" t="n"/>
      <c r="C15" s="61" t="n"/>
      <c r="D15" s="61" t="n"/>
      <c r="E15" s="61" t="n"/>
      <c r="F15" s="62" t="n"/>
      <c r="G15" s="63">
        <f>IF(A15="","",Settings!$B$4)</f>
        <v/>
      </c>
      <c r="H15" s="62">
        <f>IF(F15="","",IF(J15="Yes",ROUND(F15*G15,2),0))</f>
        <v/>
      </c>
      <c r="I15" s="62">
        <f>IF(F15="","",F15+ROUND(F15*G15,2))</f>
        <v/>
      </c>
      <c r="J15" s="61" t="n"/>
      <c r="K15" s="64">
        <f>IF(A15="","",DATE(YEAR(A15),MONTH(A15),1))</f>
        <v/>
      </c>
      <c r="L15" s="61" t="n"/>
      <c r="M15" s="65" t="n"/>
      <c r="N15" s="61" t="n"/>
    </row>
    <row r="16">
      <c r="A16" s="60" t="n"/>
      <c r="B16" s="61" t="n"/>
      <c r="C16" s="61" t="n"/>
      <c r="D16" s="61" t="n"/>
      <c r="E16" s="61" t="n"/>
      <c r="F16" s="62" t="n"/>
      <c r="G16" s="63">
        <f>IF(A16="","",Settings!$B$4)</f>
        <v/>
      </c>
      <c r="H16" s="62">
        <f>IF(F16="","",IF(J16="Yes",ROUND(F16*G16,2),0))</f>
        <v/>
      </c>
      <c r="I16" s="62">
        <f>IF(F16="","",F16+ROUND(F16*G16,2))</f>
        <v/>
      </c>
      <c r="J16" s="61" t="n"/>
      <c r="K16" s="64">
        <f>IF(A16="","",DATE(YEAR(A16),MONTH(A16),1))</f>
        <v/>
      </c>
      <c r="L16" s="61" t="n"/>
      <c r="M16" s="65" t="n"/>
      <c r="N16" s="61" t="n"/>
    </row>
    <row r="17">
      <c r="A17" s="60" t="n"/>
      <c r="B17" s="61" t="n"/>
      <c r="C17" s="61" t="n"/>
      <c r="D17" s="61" t="n"/>
      <c r="E17" s="61" t="n"/>
      <c r="F17" s="62" t="n"/>
      <c r="G17" s="63">
        <f>IF(A17="","",Settings!$B$4)</f>
        <v/>
      </c>
      <c r="H17" s="62">
        <f>IF(F17="","",IF(J17="Yes",ROUND(F17*G17,2),0))</f>
        <v/>
      </c>
      <c r="I17" s="62">
        <f>IF(F17="","",F17+ROUND(F17*G17,2))</f>
        <v/>
      </c>
      <c r="J17" s="61" t="n"/>
      <c r="K17" s="64">
        <f>IF(A17="","",DATE(YEAR(A17),MONTH(A17),1))</f>
        <v/>
      </c>
      <c r="L17" s="61" t="n"/>
      <c r="M17" s="65" t="n"/>
      <c r="N17" s="61" t="n"/>
    </row>
    <row r="18">
      <c r="A18" s="60" t="n"/>
      <c r="B18" s="61" t="n"/>
      <c r="C18" s="61" t="n"/>
      <c r="D18" s="61" t="n"/>
      <c r="E18" s="61" t="n"/>
      <c r="F18" s="62" t="n"/>
      <c r="G18" s="63">
        <f>IF(A18="","",Settings!$B$4)</f>
        <v/>
      </c>
      <c r="H18" s="62">
        <f>IF(F18="","",IF(J18="Yes",ROUND(F18*G18,2),0))</f>
        <v/>
      </c>
      <c r="I18" s="62">
        <f>IF(F18="","",F18+ROUND(F18*G18,2))</f>
        <v/>
      </c>
      <c r="J18" s="61" t="n"/>
      <c r="K18" s="64">
        <f>IF(A18="","",DATE(YEAR(A18),MONTH(A18),1))</f>
        <v/>
      </c>
      <c r="L18" s="61" t="n"/>
      <c r="M18" s="65" t="n"/>
      <c r="N18" s="61" t="n"/>
    </row>
    <row r="19">
      <c r="A19" s="60" t="n"/>
      <c r="B19" s="61" t="n"/>
      <c r="C19" s="61" t="n"/>
      <c r="D19" s="61" t="n"/>
      <c r="E19" s="61" t="n"/>
      <c r="F19" s="62" t="n"/>
      <c r="G19" s="63">
        <f>IF(A19="","",Settings!$B$4)</f>
        <v/>
      </c>
      <c r="H19" s="62">
        <f>IF(F19="","",IF(J19="Yes",ROUND(F19*G19,2),0))</f>
        <v/>
      </c>
      <c r="I19" s="62">
        <f>IF(F19="","",F19+ROUND(F19*G19,2))</f>
        <v/>
      </c>
      <c r="J19" s="61" t="n"/>
      <c r="K19" s="64">
        <f>IF(A19="","",DATE(YEAR(A19),MONTH(A19),1))</f>
        <v/>
      </c>
      <c r="L19" s="61" t="n"/>
      <c r="M19" s="65" t="n"/>
      <c r="N19" s="61" t="n"/>
    </row>
    <row r="20">
      <c r="A20" s="60" t="n"/>
      <c r="B20" s="61" t="n"/>
      <c r="C20" s="61" t="n"/>
      <c r="D20" s="61" t="n"/>
      <c r="E20" s="61" t="n"/>
      <c r="F20" s="62" t="n"/>
      <c r="G20" s="63">
        <f>IF(A20="","",Settings!$B$4)</f>
        <v/>
      </c>
      <c r="H20" s="62">
        <f>IF(F20="","",IF(J20="Yes",ROUND(F20*G20,2),0))</f>
        <v/>
      </c>
      <c r="I20" s="62">
        <f>IF(F20="","",F20+ROUND(F20*G20,2))</f>
        <v/>
      </c>
      <c r="J20" s="61" t="n"/>
      <c r="K20" s="64">
        <f>IF(A20="","",DATE(YEAR(A20),MONTH(A20),1))</f>
        <v/>
      </c>
      <c r="L20" s="61" t="n"/>
      <c r="M20" s="65" t="n"/>
      <c r="N20" s="61" t="n"/>
    </row>
    <row r="21">
      <c r="A21" s="60" t="n"/>
      <c r="B21" s="61" t="n"/>
      <c r="C21" s="61" t="n"/>
      <c r="D21" s="61" t="n"/>
      <c r="E21" s="61" t="n"/>
      <c r="F21" s="62" t="n"/>
      <c r="G21" s="63">
        <f>IF(A21="","",Settings!$B$4)</f>
        <v/>
      </c>
      <c r="H21" s="62">
        <f>IF(F21="","",IF(J21="Yes",ROUND(F21*G21,2),0))</f>
        <v/>
      </c>
      <c r="I21" s="62">
        <f>IF(F21="","",F21+ROUND(F21*G21,2))</f>
        <v/>
      </c>
      <c r="J21" s="61" t="n"/>
      <c r="K21" s="64">
        <f>IF(A21="","",DATE(YEAR(A21),MONTH(A21),1))</f>
        <v/>
      </c>
      <c r="L21" s="61" t="n"/>
      <c r="M21" s="65" t="n"/>
      <c r="N21" s="61" t="n"/>
    </row>
    <row r="22">
      <c r="A22" s="60" t="n"/>
      <c r="B22" s="61" t="n"/>
      <c r="C22" s="61" t="n"/>
      <c r="D22" s="61" t="n"/>
      <c r="E22" s="61" t="n"/>
      <c r="F22" s="62" t="n"/>
      <c r="G22" s="63">
        <f>IF(A22="","",Settings!$B$4)</f>
        <v/>
      </c>
      <c r="H22" s="62">
        <f>IF(F22="","",IF(J22="Yes",ROUND(F22*G22,2),0))</f>
        <v/>
      </c>
      <c r="I22" s="62">
        <f>IF(F22="","",F22+ROUND(F22*G22,2))</f>
        <v/>
      </c>
      <c r="J22" s="61" t="n"/>
      <c r="K22" s="64">
        <f>IF(A22="","",DATE(YEAR(A22),MONTH(A22),1))</f>
        <v/>
      </c>
      <c r="L22" s="61" t="n"/>
      <c r="M22" s="65" t="n"/>
      <c r="N22" s="61" t="n"/>
    </row>
    <row r="23">
      <c r="A23" s="60" t="n"/>
      <c r="B23" s="61" t="n"/>
      <c r="C23" s="61" t="n"/>
      <c r="D23" s="61" t="n"/>
      <c r="E23" s="61" t="n"/>
      <c r="F23" s="62" t="n"/>
      <c r="G23" s="63">
        <f>IF(A23="","",Settings!$B$4)</f>
        <v/>
      </c>
      <c r="H23" s="62">
        <f>IF(F23="","",IF(J23="Yes",ROUND(F23*G23,2),0))</f>
        <v/>
      </c>
      <c r="I23" s="62">
        <f>IF(F23="","",F23+ROUND(F23*G23,2))</f>
        <v/>
      </c>
      <c r="J23" s="61" t="n"/>
      <c r="K23" s="64">
        <f>IF(A23="","",DATE(YEAR(A23),MONTH(A23),1))</f>
        <v/>
      </c>
      <c r="L23" s="61" t="n"/>
      <c r="M23" s="65" t="n"/>
      <c r="N23" s="61" t="n"/>
    </row>
    <row r="24">
      <c r="A24" s="60" t="n"/>
      <c r="B24" s="61" t="n"/>
      <c r="C24" s="61" t="n"/>
      <c r="D24" s="61" t="n"/>
      <c r="E24" s="61" t="n"/>
      <c r="F24" s="62" t="n"/>
      <c r="G24" s="63">
        <f>IF(A24="","",Settings!$B$4)</f>
        <v/>
      </c>
      <c r="H24" s="62">
        <f>IF(F24="","",IF(J24="Yes",ROUND(F24*G24,2),0))</f>
        <v/>
      </c>
      <c r="I24" s="62">
        <f>IF(F24="","",F24+ROUND(F24*G24,2))</f>
        <v/>
      </c>
      <c r="J24" s="61" t="n"/>
      <c r="K24" s="64">
        <f>IF(A24="","",DATE(YEAR(A24),MONTH(A24),1))</f>
        <v/>
      </c>
      <c r="L24" s="61" t="n"/>
      <c r="M24" s="65" t="n"/>
      <c r="N24" s="61" t="n"/>
    </row>
    <row r="26">
      <c r="A26" s="58" t="inlineStr">
        <is>
          <t>February 2026 / เดือน Feb</t>
        </is>
      </c>
    </row>
    <row r="27">
      <c r="A27" s="59" t="inlineStr">
        <is>
          <t>วันที่</t>
        </is>
      </c>
      <c r="B27" s="59" t="inlineStr">
        <is>
          <t>เลขที่บิล/ใบกำกับ</t>
        </is>
      </c>
      <c r="C27" s="59" t="inlineStr">
        <is>
          <t>ผู้ขาย</t>
        </is>
      </c>
      <c r="D27" s="59" t="inlineStr">
        <is>
          <t>รายละเอียด</t>
        </is>
      </c>
      <c r="E27" s="59" t="inlineStr">
        <is>
          <t>หมวด</t>
        </is>
      </c>
      <c r="F27" s="59" t="inlineStr">
        <is>
          <t>ยอดก่อน VAT</t>
        </is>
      </c>
      <c r="G27" s="59" t="inlineStr">
        <is>
          <t>อัตรา VAT</t>
        </is>
      </c>
      <c r="H27" s="59" t="inlineStr">
        <is>
          <t>ภาษีซื้อ</t>
        </is>
      </c>
      <c r="I27" s="59" t="inlineStr">
        <is>
          <t>ยอดรวม</t>
        </is>
      </c>
      <c r="J27" s="59" t="inlineStr">
        <is>
          <t>ขอคืน VAT ได้?</t>
        </is>
      </c>
      <c r="K27" s="59" t="inlineStr">
        <is>
          <t>เดือน</t>
        </is>
      </c>
      <c r="L27" s="59" t="inlineStr">
        <is>
          <t>ไฟล์บิล</t>
        </is>
      </c>
      <c r="M27" s="59" t="inlineStr">
        <is>
          <t>OCR Confidence</t>
        </is>
      </c>
      <c r="N27" s="59" t="inlineStr">
        <is>
          <t>หมายเหตุ</t>
        </is>
      </c>
    </row>
    <row r="28">
      <c r="A28" s="60" t="n"/>
      <c r="B28" s="61" t="n"/>
      <c r="C28" s="61" t="n"/>
      <c r="D28" s="61" t="n"/>
      <c r="E28" s="61" t="n"/>
      <c r="F28" s="62" t="n"/>
      <c r="G28" s="63">
        <f>IF(A28="","",Settings!$B$4)</f>
        <v/>
      </c>
      <c r="H28" s="62">
        <f>IF(F28="","",IF(J28="Yes",ROUND(F28*G28,2),0))</f>
        <v/>
      </c>
      <c r="I28" s="62">
        <f>IF(F28="","",F28+ROUND(F28*G28,2))</f>
        <v/>
      </c>
      <c r="J28" s="61" t="n"/>
      <c r="K28" s="64">
        <f>IF(A28="","",DATE(YEAR(A28),MONTH(A28),1))</f>
        <v/>
      </c>
      <c r="L28" s="61" t="n"/>
      <c r="M28" s="65" t="n"/>
      <c r="N28" s="61" t="n"/>
    </row>
    <row r="29">
      <c r="A29" s="60" t="n"/>
      <c r="B29" s="61" t="n"/>
      <c r="C29" s="61" t="n"/>
      <c r="D29" s="61" t="n"/>
      <c r="E29" s="61" t="n"/>
      <c r="F29" s="62" t="n"/>
      <c r="G29" s="63">
        <f>IF(A29="","",Settings!$B$4)</f>
        <v/>
      </c>
      <c r="H29" s="62">
        <f>IF(F29="","",IF(J29="Yes",ROUND(F29*G29,2),0))</f>
        <v/>
      </c>
      <c r="I29" s="62">
        <f>IF(F29="","",F29+ROUND(F29*G29,2))</f>
        <v/>
      </c>
      <c r="J29" s="61" t="n"/>
      <c r="K29" s="64">
        <f>IF(A29="","",DATE(YEAR(A29),MONTH(A29),1))</f>
        <v/>
      </c>
      <c r="L29" s="61" t="n"/>
      <c r="M29" s="65" t="n"/>
      <c r="N29" s="61" t="n"/>
    </row>
    <row r="30">
      <c r="A30" s="60" t="n"/>
      <c r="B30" s="61" t="n"/>
      <c r="C30" s="61" t="n"/>
      <c r="D30" s="61" t="n"/>
      <c r="E30" s="61" t="n"/>
      <c r="F30" s="62" t="n"/>
      <c r="G30" s="63">
        <f>IF(A30="","",Settings!$B$4)</f>
        <v/>
      </c>
      <c r="H30" s="62">
        <f>IF(F30="","",IF(J30="Yes",ROUND(F30*G30,2),0))</f>
        <v/>
      </c>
      <c r="I30" s="62">
        <f>IF(F30="","",F30+ROUND(F30*G30,2))</f>
        <v/>
      </c>
      <c r="J30" s="61" t="n"/>
      <c r="K30" s="64">
        <f>IF(A30="","",DATE(YEAR(A30),MONTH(A30),1))</f>
        <v/>
      </c>
      <c r="L30" s="61" t="n"/>
      <c r="M30" s="65" t="n"/>
      <c r="N30" s="61" t="n"/>
    </row>
    <row r="31">
      <c r="A31" s="60" t="n"/>
      <c r="B31" s="61" t="n"/>
      <c r="C31" s="61" t="n"/>
      <c r="D31" s="61" t="n"/>
      <c r="E31" s="61" t="n"/>
      <c r="F31" s="62" t="n"/>
      <c r="G31" s="63">
        <f>IF(A31="","",Settings!$B$4)</f>
        <v/>
      </c>
      <c r="H31" s="62">
        <f>IF(F31="","",IF(J31="Yes",ROUND(F31*G31,2),0))</f>
        <v/>
      </c>
      <c r="I31" s="62">
        <f>IF(F31="","",F31+ROUND(F31*G31,2))</f>
        <v/>
      </c>
      <c r="J31" s="61" t="n"/>
      <c r="K31" s="64">
        <f>IF(A31="","",DATE(YEAR(A31),MONTH(A31),1))</f>
        <v/>
      </c>
      <c r="L31" s="61" t="n"/>
      <c r="M31" s="65" t="n"/>
      <c r="N31" s="61" t="n"/>
    </row>
    <row r="32">
      <c r="A32" s="60" t="n"/>
      <c r="B32" s="61" t="n"/>
      <c r="C32" s="61" t="n"/>
      <c r="D32" s="61" t="n"/>
      <c r="E32" s="61" t="n"/>
      <c r="F32" s="62" t="n"/>
      <c r="G32" s="63">
        <f>IF(A32="","",Settings!$B$4)</f>
        <v/>
      </c>
      <c r="H32" s="62">
        <f>IF(F32="","",IF(J32="Yes",ROUND(F32*G32,2),0))</f>
        <v/>
      </c>
      <c r="I32" s="62">
        <f>IF(F32="","",F32+ROUND(F32*G32,2))</f>
        <v/>
      </c>
      <c r="J32" s="61" t="n"/>
      <c r="K32" s="64">
        <f>IF(A32="","",DATE(YEAR(A32),MONTH(A32),1))</f>
        <v/>
      </c>
      <c r="L32" s="61" t="n"/>
      <c r="M32" s="65" t="n"/>
      <c r="N32" s="61" t="n"/>
    </row>
    <row r="33">
      <c r="A33" s="60" t="n"/>
      <c r="B33" s="61" t="n"/>
      <c r="C33" s="61" t="n"/>
      <c r="D33" s="61" t="n"/>
      <c r="E33" s="61" t="n"/>
      <c r="F33" s="62" t="n"/>
      <c r="G33" s="63">
        <f>IF(A33="","",Settings!$B$4)</f>
        <v/>
      </c>
      <c r="H33" s="62">
        <f>IF(F33="","",IF(J33="Yes",ROUND(F33*G33,2),0))</f>
        <v/>
      </c>
      <c r="I33" s="62">
        <f>IF(F33="","",F33+ROUND(F33*G33,2))</f>
        <v/>
      </c>
      <c r="J33" s="61" t="n"/>
      <c r="K33" s="64">
        <f>IF(A33="","",DATE(YEAR(A33),MONTH(A33),1))</f>
        <v/>
      </c>
      <c r="L33" s="61" t="n"/>
      <c r="M33" s="65" t="n"/>
      <c r="N33" s="61" t="n"/>
    </row>
    <row r="34">
      <c r="A34" s="60" t="n"/>
      <c r="B34" s="61" t="n"/>
      <c r="C34" s="61" t="n"/>
      <c r="D34" s="61" t="n"/>
      <c r="E34" s="61" t="n"/>
      <c r="F34" s="62" t="n"/>
      <c r="G34" s="63">
        <f>IF(A34="","",Settings!$B$4)</f>
        <v/>
      </c>
      <c r="H34" s="62">
        <f>IF(F34="","",IF(J34="Yes",ROUND(F34*G34,2),0))</f>
        <v/>
      </c>
      <c r="I34" s="62">
        <f>IF(F34="","",F34+ROUND(F34*G34,2))</f>
        <v/>
      </c>
      <c r="J34" s="61" t="n"/>
      <c r="K34" s="64">
        <f>IF(A34="","",DATE(YEAR(A34),MONTH(A34),1))</f>
        <v/>
      </c>
      <c r="L34" s="61" t="n"/>
      <c r="M34" s="65" t="n"/>
      <c r="N34" s="61" t="n"/>
    </row>
    <row r="35">
      <c r="A35" s="60" t="n"/>
      <c r="B35" s="61" t="n"/>
      <c r="C35" s="61" t="n"/>
      <c r="D35" s="61" t="n"/>
      <c r="E35" s="61" t="n"/>
      <c r="F35" s="62" t="n"/>
      <c r="G35" s="63">
        <f>IF(A35="","",Settings!$B$4)</f>
        <v/>
      </c>
      <c r="H35" s="62">
        <f>IF(F35="","",IF(J35="Yes",ROUND(F35*G35,2),0))</f>
        <v/>
      </c>
      <c r="I35" s="62">
        <f>IF(F35="","",F35+ROUND(F35*G35,2))</f>
        <v/>
      </c>
      <c r="J35" s="61" t="n"/>
      <c r="K35" s="64">
        <f>IF(A35="","",DATE(YEAR(A35),MONTH(A35),1))</f>
        <v/>
      </c>
      <c r="L35" s="61" t="n"/>
      <c r="M35" s="65" t="n"/>
      <c r="N35" s="61" t="n"/>
    </row>
    <row r="36">
      <c r="A36" s="60" t="n"/>
      <c r="B36" s="61" t="n"/>
      <c r="C36" s="61" t="n"/>
      <c r="D36" s="61" t="n"/>
      <c r="E36" s="61" t="n"/>
      <c r="F36" s="62" t="n"/>
      <c r="G36" s="63">
        <f>IF(A36="","",Settings!$B$4)</f>
        <v/>
      </c>
      <c r="H36" s="62">
        <f>IF(F36="","",IF(J36="Yes",ROUND(F36*G36,2),0))</f>
        <v/>
      </c>
      <c r="I36" s="62">
        <f>IF(F36="","",F36+ROUND(F36*G36,2))</f>
        <v/>
      </c>
      <c r="J36" s="61" t="n"/>
      <c r="K36" s="64">
        <f>IF(A36="","",DATE(YEAR(A36),MONTH(A36),1))</f>
        <v/>
      </c>
      <c r="L36" s="61" t="n"/>
      <c r="M36" s="65" t="n"/>
      <c r="N36" s="61" t="n"/>
    </row>
    <row r="37">
      <c r="A37" s="60" t="n"/>
      <c r="B37" s="61" t="n"/>
      <c r="C37" s="61" t="n"/>
      <c r="D37" s="61" t="n"/>
      <c r="E37" s="61" t="n"/>
      <c r="F37" s="62" t="n"/>
      <c r="G37" s="63">
        <f>IF(A37="","",Settings!$B$4)</f>
        <v/>
      </c>
      <c r="H37" s="62">
        <f>IF(F37="","",IF(J37="Yes",ROUND(F37*G37,2),0))</f>
        <v/>
      </c>
      <c r="I37" s="62">
        <f>IF(F37="","",F37+ROUND(F37*G37,2))</f>
        <v/>
      </c>
      <c r="J37" s="61" t="n"/>
      <c r="K37" s="64">
        <f>IF(A37="","",DATE(YEAR(A37),MONTH(A37),1))</f>
        <v/>
      </c>
      <c r="L37" s="61" t="n"/>
      <c r="M37" s="65" t="n"/>
      <c r="N37" s="61" t="n"/>
    </row>
    <row r="38">
      <c r="A38" s="60" t="n"/>
      <c r="B38" s="61" t="n"/>
      <c r="C38" s="61" t="n"/>
      <c r="D38" s="61" t="n"/>
      <c r="E38" s="61" t="n"/>
      <c r="F38" s="62" t="n"/>
      <c r="G38" s="63">
        <f>IF(A38="","",Settings!$B$4)</f>
        <v/>
      </c>
      <c r="H38" s="62">
        <f>IF(F38="","",IF(J38="Yes",ROUND(F38*G38,2),0))</f>
        <v/>
      </c>
      <c r="I38" s="62">
        <f>IF(F38="","",F38+ROUND(F38*G38,2))</f>
        <v/>
      </c>
      <c r="J38" s="61" t="n"/>
      <c r="K38" s="64">
        <f>IF(A38="","",DATE(YEAR(A38),MONTH(A38),1))</f>
        <v/>
      </c>
      <c r="L38" s="61" t="n"/>
      <c r="M38" s="65" t="n"/>
      <c r="N38" s="61" t="n"/>
    </row>
    <row r="39">
      <c r="A39" s="60" t="n"/>
      <c r="B39" s="61" t="n"/>
      <c r="C39" s="61" t="n"/>
      <c r="D39" s="61" t="n"/>
      <c r="E39" s="61" t="n"/>
      <c r="F39" s="62" t="n"/>
      <c r="G39" s="63">
        <f>IF(A39="","",Settings!$B$4)</f>
        <v/>
      </c>
      <c r="H39" s="62">
        <f>IF(F39="","",IF(J39="Yes",ROUND(F39*G39,2),0))</f>
        <v/>
      </c>
      <c r="I39" s="62">
        <f>IF(F39="","",F39+ROUND(F39*G39,2))</f>
        <v/>
      </c>
      <c r="J39" s="61" t="n"/>
      <c r="K39" s="64">
        <f>IF(A39="","",DATE(YEAR(A39),MONTH(A39),1))</f>
        <v/>
      </c>
      <c r="L39" s="61" t="n"/>
      <c r="M39" s="65" t="n"/>
      <c r="N39" s="61" t="n"/>
    </row>
    <row r="40">
      <c r="A40" s="60" t="n"/>
      <c r="B40" s="61" t="n"/>
      <c r="C40" s="61" t="n"/>
      <c r="D40" s="61" t="n"/>
      <c r="E40" s="61" t="n"/>
      <c r="F40" s="62" t="n"/>
      <c r="G40" s="63">
        <f>IF(A40="","",Settings!$B$4)</f>
        <v/>
      </c>
      <c r="H40" s="62">
        <f>IF(F40="","",IF(J40="Yes",ROUND(F40*G40,2),0))</f>
        <v/>
      </c>
      <c r="I40" s="62">
        <f>IF(F40="","",F40+ROUND(F40*G40,2))</f>
        <v/>
      </c>
      <c r="J40" s="61" t="n"/>
      <c r="K40" s="64">
        <f>IF(A40="","",DATE(YEAR(A40),MONTH(A40),1))</f>
        <v/>
      </c>
      <c r="L40" s="61" t="n"/>
      <c r="M40" s="65" t="n"/>
      <c r="N40" s="61" t="n"/>
    </row>
    <row r="41">
      <c r="A41" s="60" t="n"/>
      <c r="B41" s="61" t="n"/>
      <c r="C41" s="61" t="n"/>
      <c r="D41" s="61" t="n"/>
      <c r="E41" s="61" t="n"/>
      <c r="F41" s="62" t="n"/>
      <c r="G41" s="63">
        <f>IF(A41="","",Settings!$B$4)</f>
        <v/>
      </c>
      <c r="H41" s="62">
        <f>IF(F41="","",IF(J41="Yes",ROUND(F41*G41,2),0))</f>
        <v/>
      </c>
      <c r="I41" s="62">
        <f>IF(F41="","",F41+ROUND(F41*G41,2))</f>
        <v/>
      </c>
      <c r="J41" s="61" t="n"/>
      <c r="K41" s="64">
        <f>IF(A41="","",DATE(YEAR(A41),MONTH(A41),1))</f>
        <v/>
      </c>
      <c r="L41" s="61" t="n"/>
      <c r="M41" s="65" t="n"/>
      <c r="N41" s="61" t="n"/>
    </row>
    <row r="42">
      <c r="A42" s="60" t="n"/>
      <c r="B42" s="61" t="n"/>
      <c r="C42" s="61" t="n"/>
      <c r="D42" s="61" t="n"/>
      <c r="E42" s="61" t="n"/>
      <c r="F42" s="62" t="n"/>
      <c r="G42" s="63">
        <f>IF(A42="","",Settings!$B$4)</f>
        <v/>
      </c>
      <c r="H42" s="62">
        <f>IF(F42="","",IF(J42="Yes",ROUND(F42*G42,2),0))</f>
        <v/>
      </c>
      <c r="I42" s="62">
        <f>IF(F42="","",F42+ROUND(F42*G42,2))</f>
        <v/>
      </c>
      <c r="J42" s="61" t="n"/>
      <c r="K42" s="64">
        <f>IF(A42="","",DATE(YEAR(A42),MONTH(A42),1))</f>
        <v/>
      </c>
      <c r="L42" s="61" t="n"/>
      <c r="M42" s="65" t="n"/>
      <c r="N42" s="61" t="n"/>
    </row>
    <row r="43">
      <c r="A43" s="60" t="n"/>
      <c r="B43" s="61" t="n"/>
      <c r="C43" s="61" t="n"/>
      <c r="D43" s="61" t="n"/>
      <c r="E43" s="61" t="n"/>
      <c r="F43" s="62" t="n"/>
      <c r="G43" s="63">
        <f>IF(A43="","",Settings!$B$4)</f>
        <v/>
      </c>
      <c r="H43" s="62">
        <f>IF(F43="","",IF(J43="Yes",ROUND(F43*G43,2),0))</f>
        <v/>
      </c>
      <c r="I43" s="62">
        <f>IF(F43="","",F43+ROUND(F43*G43,2))</f>
        <v/>
      </c>
      <c r="J43" s="61" t="n"/>
      <c r="K43" s="64">
        <f>IF(A43="","",DATE(YEAR(A43),MONTH(A43),1))</f>
        <v/>
      </c>
      <c r="L43" s="61" t="n"/>
      <c r="M43" s="65" t="n"/>
      <c r="N43" s="61" t="n"/>
    </row>
    <row r="44">
      <c r="A44" s="60" t="n"/>
      <c r="B44" s="61" t="n"/>
      <c r="C44" s="61" t="n"/>
      <c r="D44" s="61" t="n"/>
      <c r="E44" s="61" t="n"/>
      <c r="F44" s="62" t="n"/>
      <c r="G44" s="63">
        <f>IF(A44="","",Settings!$B$4)</f>
        <v/>
      </c>
      <c r="H44" s="62">
        <f>IF(F44="","",IF(J44="Yes",ROUND(F44*G44,2),0))</f>
        <v/>
      </c>
      <c r="I44" s="62">
        <f>IF(F44="","",F44+ROUND(F44*G44,2))</f>
        <v/>
      </c>
      <c r="J44" s="61" t="n"/>
      <c r="K44" s="64">
        <f>IF(A44="","",DATE(YEAR(A44),MONTH(A44),1))</f>
        <v/>
      </c>
      <c r="L44" s="61" t="n"/>
      <c r="M44" s="65" t="n"/>
      <c r="N44" s="61" t="n"/>
    </row>
    <row r="45">
      <c r="A45" s="60" t="n"/>
      <c r="B45" s="61" t="n"/>
      <c r="C45" s="61" t="n"/>
      <c r="D45" s="61" t="n"/>
      <c r="E45" s="61" t="n"/>
      <c r="F45" s="62" t="n"/>
      <c r="G45" s="63">
        <f>IF(A45="","",Settings!$B$4)</f>
        <v/>
      </c>
      <c r="H45" s="62">
        <f>IF(F45="","",IF(J45="Yes",ROUND(F45*G45,2),0))</f>
        <v/>
      </c>
      <c r="I45" s="62">
        <f>IF(F45="","",F45+ROUND(F45*G45,2))</f>
        <v/>
      </c>
      <c r="J45" s="61" t="n"/>
      <c r="K45" s="64">
        <f>IF(A45="","",DATE(YEAR(A45),MONTH(A45),1))</f>
        <v/>
      </c>
      <c r="L45" s="61" t="n"/>
      <c r="M45" s="65" t="n"/>
      <c r="N45" s="61" t="n"/>
    </row>
    <row r="46">
      <c r="A46" s="60" t="n"/>
      <c r="B46" s="61" t="n"/>
      <c r="C46" s="61" t="n"/>
      <c r="D46" s="61" t="n"/>
      <c r="E46" s="61" t="n"/>
      <c r="F46" s="62" t="n"/>
      <c r="G46" s="63">
        <f>IF(A46="","",Settings!$B$4)</f>
        <v/>
      </c>
      <c r="H46" s="62">
        <f>IF(F46="","",IF(J46="Yes",ROUND(F46*G46,2),0))</f>
        <v/>
      </c>
      <c r="I46" s="62">
        <f>IF(F46="","",F46+ROUND(F46*G46,2))</f>
        <v/>
      </c>
      <c r="J46" s="61" t="n"/>
      <c r="K46" s="64">
        <f>IF(A46="","",DATE(YEAR(A46),MONTH(A46),1))</f>
        <v/>
      </c>
      <c r="L46" s="61" t="n"/>
      <c r="M46" s="65" t="n"/>
      <c r="N46" s="61" t="n"/>
    </row>
    <row r="47">
      <c r="A47" s="60" t="n"/>
      <c r="B47" s="61" t="n"/>
      <c r="C47" s="61" t="n"/>
      <c r="D47" s="61" t="n"/>
      <c r="E47" s="61" t="n"/>
      <c r="F47" s="62" t="n"/>
      <c r="G47" s="63">
        <f>IF(A47="","",Settings!$B$4)</f>
        <v/>
      </c>
      <c r="H47" s="62">
        <f>IF(F47="","",IF(J47="Yes",ROUND(F47*G47,2),0))</f>
        <v/>
      </c>
      <c r="I47" s="62">
        <f>IF(F47="","",F47+ROUND(F47*G47,2))</f>
        <v/>
      </c>
      <c r="J47" s="61" t="n"/>
      <c r="K47" s="64">
        <f>IF(A47="","",DATE(YEAR(A47),MONTH(A47),1))</f>
        <v/>
      </c>
      <c r="L47" s="61" t="n"/>
      <c r="M47" s="65" t="n"/>
      <c r="N47" s="61" t="n"/>
    </row>
    <row r="49">
      <c r="A49" s="58" t="inlineStr">
        <is>
          <t>March 2026 / เดือน Mar</t>
        </is>
      </c>
    </row>
    <row r="50">
      <c r="A50" s="59" t="inlineStr">
        <is>
          <t>วันที่</t>
        </is>
      </c>
      <c r="B50" s="59" t="inlineStr">
        <is>
          <t>เลขที่บิล/ใบกำกับ</t>
        </is>
      </c>
      <c r="C50" s="59" t="inlineStr">
        <is>
          <t>ผู้ขาย</t>
        </is>
      </c>
      <c r="D50" s="59" t="inlineStr">
        <is>
          <t>รายละเอียด</t>
        </is>
      </c>
      <c r="E50" s="59" t="inlineStr">
        <is>
          <t>หมวด</t>
        </is>
      </c>
      <c r="F50" s="59" t="inlineStr">
        <is>
          <t>ยอดก่อน VAT</t>
        </is>
      </c>
      <c r="G50" s="59" t="inlineStr">
        <is>
          <t>อัตรา VAT</t>
        </is>
      </c>
      <c r="H50" s="59" t="inlineStr">
        <is>
          <t>ภาษีซื้อ</t>
        </is>
      </c>
      <c r="I50" s="59" t="inlineStr">
        <is>
          <t>ยอดรวม</t>
        </is>
      </c>
      <c r="J50" s="59" t="inlineStr">
        <is>
          <t>ขอคืน VAT ได้?</t>
        </is>
      </c>
      <c r="K50" s="59" t="inlineStr">
        <is>
          <t>เดือน</t>
        </is>
      </c>
      <c r="L50" s="59" t="inlineStr">
        <is>
          <t>ไฟล์บิล</t>
        </is>
      </c>
      <c r="M50" s="59" t="inlineStr">
        <is>
          <t>OCR Confidence</t>
        </is>
      </c>
      <c r="N50" s="59" t="inlineStr">
        <is>
          <t>หมายเหตุ</t>
        </is>
      </c>
    </row>
    <row r="51">
      <c r="A51" s="60" t="n"/>
      <c r="B51" s="61" t="n"/>
      <c r="C51" s="61" t="n"/>
      <c r="D51" s="61" t="n"/>
      <c r="E51" s="61" t="n"/>
      <c r="F51" s="62" t="n"/>
      <c r="G51" s="63">
        <f>IF(A51="","",Settings!$B$4)</f>
        <v/>
      </c>
      <c r="H51" s="62">
        <f>IF(F51="","",IF(J51="Yes",ROUND(F51*G51,2),0))</f>
        <v/>
      </c>
      <c r="I51" s="62">
        <f>IF(F51="","",F51+ROUND(F51*G51,2))</f>
        <v/>
      </c>
      <c r="J51" s="61" t="n"/>
      <c r="K51" s="64">
        <f>IF(A51="","",DATE(YEAR(A51),MONTH(A51),1))</f>
        <v/>
      </c>
      <c r="L51" s="61" t="n"/>
      <c r="M51" s="65" t="n"/>
      <c r="N51" s="61" t="n"/>
    </row>
    <row r="52">
      <c r="A52" s="60" t="n"/>
      <c r="B52" s="61" t="n"/>
      <c r="C52" s="61" t="n"/>
      <c r="D52" s="61" t="n"/>
      <c r="E52" s="61" t="n"/>
      <c r="F52" s="62" t="n"/>
      <c r="G52" s="63">
        <f>IF(A52="","",Settings!$B$4)</f>
        <v/>
      </c>
      <c r="H52" s="62">
        <f>IF(F52="","",IF(J52="Yes",ROUND(F52*G52,2),0))</f>
        <v/>
      </c>
      <c r="I52" s="62">
        <f>IF(F52="","",F52+ROUND(F52*G52,2))</f>
        <v/>
      </c>
      <c r="J52" s="61" t="n"/>
      <c r="K52" s="64">
        <f>IF(A52="","",DATE(YEAR(A52),MONTH(A52),1))</f>
        <v/>
      </c>
      <c r="L52" s="61" t="n"/>
      <c r="M52" s="65" t="n"/>
      <c r="N52" s="61" t="n"/>
    </row>
    <row r="53">
      <c r="A53" s="60" t="n"/>
      <c r="B53" s="61" t="n"/>
      <c r="C53" s="61" t="n"/>
      <c r="D53" s="61" t="n"/>
      <c r="E53" s="61" t="n"/>
      <c r="F53" s="62" t="n"/>
      <c r="G53" s="63">
        <f>IF(A53="","",Settings!$B$4)</f>
        <v/>
      </c>
      <c r="H53" s="62">
        <f>IF(F53="","",IF(J53="Yes",ROUND(F53*G53,2),0))</f>
        <v/>
      </c>
      <c r="I53" s="62">
        <f>IF(F53="","",F53+ROUND(F53*G53,2))</f>
        <v/>
      </c>
      <c r="J53" s="61" t="n"/>
      <c r="K53" s="64">
        <f>IF(A53="","",DATE(YEAR(A53),MONTH(A53),1))</f>
        <v/>
      </c>
      <c r="L53" s="61" t="n"/>
      <c r="M53" s="65" t="n"/>
      <c r="N53" s="61" t="n"/>
    </row>
    <row r="54">
      <c r="A54" s="60" t="n"/>
      <c r="B54" s="61" t="n"/>
      <c r="C54" s="61" t="n"/>
      <c r="D54" s="61" t="n"/>
      <c r="E54" s="61" t="n"/>
      <c r="F54" s="62" t="n"/>
      <c r="G54" s="63">
        <f>IF(A54="","",Settings!$B$4)</f>
        <v/>
      </c>
      <c r="H54" s="62">
        <f>IF(F54="","",IF(J54="Yes",ROUND(F54*G54,2),0))</f>
        <v/>
      </c>
      <c r="I54" s="62">
        <f>IF(F54="","",F54+ROUND(F54*G54,2))</f>
        <v/>
      </c>
      <c r="J54" s="61" t="n"/>
      <c r="K54" s="64">
        <f>IF(A54="","",DATE(YEAR(A54),MONTH(A54),1))</f>
        <v/>
      </c>
      <c r="L54" s="61" t="n"/>
      <c r="M54" s="65" t="n"/>
      <c r="N54" s="61" t="n"/>
    </row>
    <row r="55">
      <c r="A55" s="60" t="n"/>
      <c r="B55" s="61" t="n"/>
      <c r="C55" s="61" t="n"/>
      <c r="D55" s="61" t="n"/>
      <c r="E55" s="61" t="n"/>
      <c r="F55" s="62" t="n"/>
      <c r="G55" s="63">
        <f>IF(A55="","",Settings!$B$4)</f>
        <v/>
      </c>
      <c r="H55" s="62">
        <f>IF(F55="","",IF(J55="Yes",ROUND(F55*G55,2),0))</f>
        <v/>
      </c>
      <c r="I55" s="62">
        <f>IF(F55="","",F55+ROUND(F55*G55,2))</f>
        <v/>
      </c>
      <c r="J55" s="61" t="n"/>
      <c r="K55" s="64">
        <f>IF(A55="","",DATE(YEAR(A55),MONTH(A55),1))</f>
        <v/>
      </c>
      <c r="L55" s="61" t="n"/>
      <c r="M55" s="65" t="n"/>
      <c r="N55" s="61" t="n"/>
    </row>
    <row r="56">
      <c r="A56" s="60" t="n"/>
      <c r="B56" s="61" t="n"/>
      <c r="C56" s="61" t="n"/>
      <c r="D56" s="61" t="n"/>
      <c r="E56" s="61" t="n"/>
      <c r="F56" s="62" t="n"/>
      <c r="G56" s="63">
        <f>IF(A56="","",Settings!$B$4)</f>
        <v/>
      </c>
      <c r="H56" s="62">
        <f>IF(F56="","",IF(J56="Yes",ROUND(F56*G56,2),0))</f>
        <v/>
      </c>
      <c r="I56" s="62">
        <f>IF(F56="","",F56+ROUND(F56*G56,2))</f>
        <v/>
      </c>
      <c r="J56" s="61" t="n"/>
      <c r="K56" s="64">
        <f>IF(A56="","",DATE(YEAR(A56),MONTH(A56),1))</f>
        <v/>
      </c>
      <c r="L56" s="61" t="n"/>
      <c r="M56" s="65" t="n"/>
      <c r="N56" s="61" t="n"/>
    </row>
    <row r="57">
      <c r="A57" s="60" t="n"/>
      <c r="B57" s="61" t="n"/>
      <c r="C57" s="61" t="n"/>
      <c r="D57" s="61" t="n"/>
      <c r="E57" s="61" t="n"/>
      <c r="F57" s="62" t="n"/>
      <c r="G57" s="63">
        <f>IF(A57="","",Settings!$B$4)</f>
        <v/>
      </c>
      <c r="H57" s="62">
        <f>IF(F57="","",IF(J57="Yes",ROUND(F57*G57,2),0))</f>
        <v/>
      </c>
      <c r="I57" s="62">
        <f>IF(F57="","",F57+ROUND(F57*G57,2))</f>
        <v/>
      </c>
      <c r="J57" s="61" t="n"/>
      <c r="K57" s="64">
        <f>IF(A57="","",DATE(YEAR(A57),MONTH(A57),1))</f>
        <v/>
      </c>
      <c r="L57" s="61" t="n"/>
      <c r="M57" s="65" t="n"/>
      <c r="N57" s="61" t="n"/>
    </row>
    <row r="58">
      <c r="A58" s="60" t="n"/>
      <c r="B58" s="61" t="n"/>
      <c r="C58" s="61" t="n"/>
      <c r="D58" s="61" t="n"/>
      <c r="E58" s="61" t="n"/>
      <c r="F58" s="62" t="n"/>
      <c r="G58" s="63">
        <f>IF(A58="","",Settings!$B$4)</f>
        <v/>
      </c>
      <c r="H58" s="62">
        <f>IF(F58="","",IF(J58="Yes",ROUND(F58*G58,2),0))</f>
        <v/>
      </c>
      <c r="I58" s="62">
        <f>IF(F58="","",F58+ROUND(F58*G58,2))</f>
        <v/>
      </c>
      <c r="J58" s="61" t="n"/>
      <c r="K58" s="64">
        <f>IF(A58="","",DATE(YEAR(A58),MONTH(A58),1))</f>
        <v/>
      </c>
      <c r="L58" s="61" t="n"/>
      <c r="M58" s="65" t="n"/>
      <c r="N58" s="61" t="n"/>
    </row>
    <row r="59">
      <c r="A59" s="60" t="n"/>
      <c r="B59" s="61" t="n"/>
      <c r="C59" s="61" t="n"/>
      <c r="D59" s="61" t="n"/>
      <c r="E59" s="61" t="n"/>
      <c r="F59" s="62" t="n"/>
      <c r="G59" s="63">
        <f>IF(A59="","",Settings!$B$4)</f>
        <v/>
      </c>
      <c r="H59" s="62">
        <f>IF(F59="","",IF(J59="Yes",ROUND(F59*G59,2),0))</f>
        <v/>
      </c>
      <c r="I59" s="62">
        <f>IF(F59="","",F59+ROUND(F59*G59,2))</f>
        <v/>
      </c>
      <c r="J59" s="61" t="n"/>
      <c r="K59" s="64">
        <f>IF(A59="","",DATE(YEAR(A59),MONTH(A59),1))</f>
        <v/>
      </c>
      <c r="L59" s="61" t="n"/>
      <c r="M59" s="65" t="n"/>
      <c r="N59" s="61" t="n"/>
    </row>
    <row r="60">
      <c r="A60" s="60" t="n"/>
      <c r="B60" s="61" t="n"/>
      <c r="C60" s="61" t="n"/>
      <c r="D60" s="61" t="n"/>
      <c r="E60" s="61" t="n"/>
      <c r="F60" s="62" t="n"/>
      <c r="G60" s="63">
        <f>IF(A60="","",Settings!$B$4)</f>
        <v/>
      </c>
      <c r="H60" s="62">
        <f>IF(F60="","",IF(J60="Yes",ROUND(F60*G60,2),0))</f>
        <v/>
      </c>
      <c r="I60" s="62">
        <f>IF(F60="","",F60+ROUND(F60*G60,2))</f>
        <v/>
      </c>
      <c r="J60" s="61" t="n"/>
      <c r="K60" s="64">
        <f>IF(A60="","",DATE(YEAR(A60),MONTH(A60),1))</f>
        <v/>
      </c>
      <c r="L60" s="61" t="n"/>
      <c r="M60" s="65" t="n"/>
      <c r="N60" s="61" t="n"/>
    </row>
    <row r="61">
      <c r="A61" s="60" t="n"/>
      <c r="B61" s="61" t="n"/>
      <c r="C61" s="61" t="n"/>
      <c r="D61" s="61" t="n"/>
      <c r="E61" s="61" t="n"/>
      <c r="F61" s="62" t="n"/>
      <c r="G61" s="63">
        <f>IF(A61="","",Settings!$B$4)</f>
        <v/>
      </c>
      <c r="H61" s="62">
        <f>IF(F61="","",IF(J61="Yes",ROUND(F61*G61,2),0))</f>
        <v/>
      </c>
      <c r="I61" s="62">
        <f>IF(F61="","",F61+ROUND(F61*G61,2))</f>
        <v/>
      </c>
      <c r="J61" s="61" t="n"/>
      <c r="K61" s="64">
        <f>IF(A61="","",DATE(YEAR(A61),MONTH(A61),1))</f>
        <v/>
      </c>
      <c r="L61" s="61" t="n"/>
      <c r="M61" s="65" t="n"/>
      <c r="N61" s="61" t="n"/>
    </row>
    <row r="62">
      <c r="A62" s="60" t="n"/>
      <c r="B62" s="61" t="n"/>
      <c r="C62" s="61" t="n"/>
      <c r="D62" s="61" t="n"/>
      <c r="E62" s="61" t="n"/>
      <c r="F62" s="62" t="n"/>
      <c r="G62" s="63">
        <f>IF(A62="","",Settings!$B$4)</f>
        <v/>
      </c>
      <c r="H62" s="62">
        <f>IF(F62="","",IF(J62="Yes",ROUND(F62*G62,2),0))</f>
        <v/>
      </c>
      <c r="I62" s="62">
        <f>IF(F62="","",F62+ROUND(F62*G62,2))</f>
        <v/>
      </c>
      <c r="J62" s="61" t="n"/>
      <c r="K62" s="64">
        <f>IF(A62="","",DATE(YEAR(A62),MONTH(A62),1))</f>
        <v/>
      </c>
      <c r="L62" s="61" t="n"/>
      <c r="M62" s="65" t="n"/>
      <c r="N62" s="61" t="n"/>
    </row>
    <row r="63">
      <c r="A63" s="60" t="n"/>
      <c r="B63" s="61" t="n"/>
      <c r="C63" s="61" t="n"/>
      <c r="D63" s="61" t="n"/>
      <c r="E63" s="61" t="n"/>
      <c r="F63" s="62" t="n"/>
      <c r="G63" s="63">
        <f>IF(A63="","",Settings!$B$4)</f>
        <v/>
      </c>
      <c r="H63" s="62">
        <f>IF(F63="","",IF(J63="Yes",ROUND(F63*G63,2),0))</f>
        <v/>
      </c>
      <c r="I63" s="62">
        <f>IF(F63="","",F63+ROUND(F63*G63,2))</f>
        <v/>
      </c>
      <c r="J63" s="61" t="n"/>
      <c r="K63" s="64">
        <f>IF(A63="","",DATE(YEAR(A63),MONTH(A63),1))</f>
        <v/>
      </c>
      <c r="L63" s="61" t="n"/>
      <c r="M63" s="65" t="n"/>
      <c r="N63" s="61" t="n"/>
    </row>
    <row r="64">
      <c r="A64" s="60" t="n"/>
      <c r="B64" s="61" t="n"/>
      <c r="C64" s="61" t="n"/>
      <c r="D64" s="61" t="n"/>
      <c r="E64" s="61" t="n"/>
      <c r="F64" s="62" t="n"/>
      <c r="G64" s="63">
        <f>IF(A64="","",Settings!$B$4)</f>
        <v/>
      </c>
      <c r="H64" s="62">
        <f>IF(F64="","",IF(J64="Yes",ROUND(F64*G64,2),0))</f>
        <v/>
      </c>
      <c r="I64" s="62">
        <f>IF(F64="","",F64+ROUND(F64*G64,2))</f>
        <v/>
      </c>
      <c r="J64" s="61" t="n"/>
      <c r="K64" s="64">
        <f>IF(A64="","",DATE(YEAR(A64),MONTH(A64),1))</f>
        <v/>
      </c>
      <c r="L64" s="61" t="n"/>
      <c r="M64" s="65" t="n"/>
      <c r="N64" s="61" t="n"/>
    </row>
    <row r="65">
      <c r="A65" s="60" t="n"/>
      <c r="B65" s="61" t="n"/>
      <c r="C65" s="61" t="n"/>
      <c r="D65" s="61" t="n"/>
      <c r="E65" s="61" t="n"/>
      <c r="F65" s="62" t="n"/>
      <c r="G65" s="63">
        <f>IF(A65="","",Settings!$B$4)</f>
        <v/>
      </c>
      <c r="H65" s="62">
        <f>IF(F65="","",IF(J65="Yes",ROUND(F65*G65,2),0))</f>
        <v/>
      </c>
      <c r="I65" s="62">
        <f>IF(F65="","",F65+ROUND(F65*G65,2))</f>
        <v/>
      </c>
      <c r="J65" s="61" t="n"/>
      <c r="K65" s="64">
        <f>IF(A65="","",DATE(YEAR(A65),MONTH(A65),1))</f>
        <v/>
      </c>
      <c r="L65" s="61" t="n"/>
      <c r="M65" s="65" t="n"/>
      <c r="N65" s="61" t="n"/>
    </row>
    <row r="66">
      <c r="A66" s="60" t="n"/>
      <c r="B66" s="61" t="n"/>
      <c r="C66" s="61" t="n"/>
      <c r="D66" s="61" t="n"/>
      <c r="E66" s="61" t="n"/>
      <c r="F66" s="62" t="n"/>
      <c r="G66" s="63">
        <f>IF(A66="","",Settings!$B$4)</f>
        <v/>
      </c>
      <c r="H66" s="62">
        <f>IF(F66="","",IF(J66="Yes",ROUND(F66*G66,2),0))</f>
        <v/>
      </c>
      <c r="I66" s="62">
        <f>IF(F66="","",F66+ROUND(F66*G66,2))</f>
        <v/>
      </c>
      <c r="J66" s="61" t="n"/>
      <c r="K66" s="64">
        <f>IF(A66="","",DATE(YEAR(A66),MONTH(A66),1))</f>
        <v/>
      </c>
      <c r="L66" s="61" t="n"/>
      <c r="M66" s="65" t="n"/>
      <c r="N66" s="61" t="n"/>
    </row>
    <row r="67">
      <c r="A67" s="60" t="n"/>
      <c r="B67" s="61" t="n"/>
      <c r="C67" s="61" t="n"/>
      <c r="D67" s="61" t="n"/>
      <c r="E67" s="61" t="n"/>
      <c r="F67" s="62" t="n"/>
      <c r="G67" s="63">
        <f>IF(A67="","",Settings!$B$4)</f>
        <v/>
      </c>
      <c r="H67" s="62">
        <f>IF(F67="","",IF(J67="Yes",ROUND(F67*G67,2),0))</f>
        <v/>
      </c>
      <c r="I67" s="62">
        <f>IF(F67="","",F67+ROUND(F67*G67,2))</f>
        <v/>
      </c>
      <c r="J67" s="61" t="n"/>
      <c r="K67" s="64">
        <f>IF(A67="","",DATE(YEAR(A67),MONTH(A67),1))</f>
        <v/>
      </c>
      <c r="L67" s="61" t="n"/>
      <c r="M67" s="65" t="n"/>
      <c r="N67" s="61" t="n"/>
    </row>
    <row r="68">
      <c r="A68" s="60" t="n"/>
      <c r="B68" s="61" t="n"/>
      <c r="C68" s="61" t="n"/>
      <c r="D68" s="61" t="n"/>
      <c r="E68" s="61" t="n"/>
      <c r="F68" s="62" t="n"/>
      <c r="G68" s="63">
        <f>IF(A68="","",Settings!$B$4)</f>
        <v/>
      </c>
      <c r="H68" s="62">
        <f>IF(F68="","",IF(J68="Yes",ROUND(F68*G68,2),0))</f>
        <v/>
      </c>
      <c r="I68" s="62">
        <f>IF(F68="","",F68+ROUND(F68*G68,2))</f>
        <v/>
      </c>
      <c r="J68" s="61" t="n"/>
      <c r="K68" s="64">
        <f>IF(A68="","",DATE(YEAR(A68),MONTH(A68),1))</f>
        <v/>
      </c>
      <c r="L68" s="61" t="n"/>
      <c r="M68" s="65" t="n"/>
      <c r="N68" s="61" t="n"/>
    </row>
    <row r="69">
      <c r="A69" s="60" t="n"/>
      <c r="B69" s="61" t="n"/>
      <c r="C69" s="61" t="n"/>
      <c r="D69" s="61" t="n"/>
      <c r="E69" s="61" t="n"/>
      <c r="F69" s="62" t="n"/>
      <c r="G69" s="63">
        <f>IF(A69="","",Settings!$B$4)</f>
        <v/>
      </c>
      <c r="H69" s="62">
        <f>IF(F69="","",IF(J69="Yes",ROUND(F69*G69,2),0))</f>
        <v/>
      </c>
      <c r="I69" s="62">
        <f>IF(F69="","",F69+ROUND(F69*G69,2))</f>
        <v/>
      </c>
      <c r="J69" s="61" t="n"/>
      <c r="K69" s="64">
        <f>IF(A69="","",DATE(YEAR(A69),MONTH(A69),1))</f>
        <v/>
      </c>
      <c r="L69" s="61" t="n"/>
      <c r="M69" s="65" t="n"/>
      <c r="N69" s="61" t="n"/>
    </row>
    <row r="70">
      <c r="A70" s="60" t="n"/>
      <c r="B70" s="61" t="n"/>
      <c r="C70" s="61" t="n"/>
      <c r="D70" s="61" t="n"/>
      <c r="E70" s="61" t="n"/>
      <c r="F70" s="62" t="n"/>
      <c r="G70" s="63">
        <f>IF(A70="","",Settings!$B$4)</f>
        <v/>
      </c>
      <c r="H70" s="62">
        <f>IF(F70="","",IF(J70="Yes",ROUND(F70*G70,2),0))</f>
        <v/>
      </c>
      <c r="I70" s="62">
        <f>IF(F70="","",F70+ROUND(F70*G70,2))</f>
        <v/>
      </c>
      <c r="J70" s="61" t="n"/>
      <c r="K70" s="64">
        <f>IF(A70="","",DATE(YEAR(A70),MONTH(A70),1))</f>
        <v/>
      </c>
      <c r="L70" s="61" t="n"/>
      <c r="M70" s="65" t="n"/>
      <c r="N70" s="61" t="n"/>
    </row>
    <row r="72">
      <c r="A72" s="58" t="inlineStr">
        <is>
          <t>April 2026 / เดือน Apr</t>
        </is>
      </c>
    </row>
    <row r="73">
      <c r="A73" s="59" t="inlineStr">
        <is>
          <t>วันที่</t>
        </is>
      </c>
      <c r="B73" s="59" t="inlineStr">
        <is>
          <t>เลขที่บิล/ใบกำกับ</t>
        </is>
      </c>
      <c r="C73" s="59" t="inlineStr">
        <is>
          <t>ผู้ขาย</t>
        </is>
      </c>
      <c r="D73" s="59" t="inlineStr">
        <is>
          <t>รายละเอียด</t>
        </is>
      </c>
      <c r="E73" s="59" t="inlineStr">
        <is>
          <t>หมวด</t>
        </is>
      </c>
      <c r="F73" s="59" t="inlineStr">
        <is>
          <t>ยอดก่อน VAT</t>
        </is>
      </c>
      <c r="G73" s="59" t="inlineStr">
        <is>
          <t>อัตรา VAT</t>
        </is>
      </c>
      <c r="H73" s="59" t="inlineStr">
        <is>
          <t>ภาษีซื้อ</t>
        </is>
      </c>
      <c r="I73" s="59" t="inlineStr">
        <is>
          <t>ยอดรวม</t>
        </is>
      </c>
      <c r="J73" s="59" t="inlineStr">
        <is>
          <t>ขอคืน VAT ได้?</t>
        </is>
      </c>
      <c r="K73" s="59" t="inlineStr">
        <is>
          <t>เดือน</t>
        </is>
      </c>
      <c r="L73" s="59" t="inlineStr">
        <is>
          <t>ไฟล์บิล</t>
        </is>
      </c>
      <c r="M73" s="59" t="inlineStr">
        <is>
          <t>OCR Confidence</t>
        </is>
      </c>
      <c r="N73" s="59" t="inlineStr">
        <is>
          <t>หมายเหตุ</t>
        </is>
      </c>
    </row>
    <row r="74">
      <c r="A74" s="60" t="n"/>
      <c r="B74" s="61" t="n"/>
      <c r="C74" s="61" t="n"/>
      <c r="D74" s="61" t="n"/>
      <c r="E74" s="61" t="n"/>
      <c r="F74" s="62" t="n"/>
      <c r="G74" s="63">
        <f>IF(A74="","",Settings!$B$4)</f>
        <v/>
      </c>
      <c r="H74" s="62">
        <f>IF(F74="","",IF(J74="Yes",ROUND(F74*G74,2),0))</f>
        <v/>
      </c>
      <c r="I74" s="62">
        <f>IF(F74="","",F74+ROUND(F74*G74,2))</f>
        <v/>
      </c>
      <c r="J74" s="61" t="n"/>
      <c r="K74" s="64">
        <f>IF(A74="","",DATE(YEAR(A74),MONTH(A74),1))</f>
        <v/>
      </c>
      <c r="L74" s="61" t="n"/>
      <c r="M74" s="65" t="n"/>
      <c r="N74" s="61" t="n"/>
    </row>
    <row r="75">
      <c r="A75" s="60" t="n"/>
      <c r="B75" s="61" t="n"/>
      <c r="C75" s="61" t="n"/>
      <c r="D75" s="61" t="n"/>
      <c r="E75" s="61" t="n"/>
      <c r="F75" s="62" t="n"/>
      <c r="G75" s="63">
        <f>IF(A75="","",Settings!$B$4)</f>
        <v/>
      </c>
      <c r="H75" s="62">
        <f>IF(F75="","",IF(J75="Yes",ROUND(F75*G75,2),0))</f>
        <v/>
      </c>
      <c r="I75" s="62">
        <f>IF(F75="","",F75+ROUND(F75*G75,2))</f>
        <v/>
      </c>
      <c r="J75" s="61" t="n"/>
      <c r="K75" s="64">
        <f>IF(A75="","",DATE(YEAR(A75),MONTH(A75),1))</f>
        <v/>
      </c>
      <c r="L75" s="61" t="n"/>
      <c r="M75" s="65" t="n"/>
      <c r="N75" s="61" t="n"/>
    </row>
    <row r="76">
      <c r="A76" s="60" t="n"/>
      <c r="B76" s="61" t="n"/>
      <c r="C76" s="61" t="n"/>
      <c r="D76" s="61" t="n"/>
      <c r="E76" s="61" t="n"/>
      <c r="F76" s="62" t="n"/>
      <c r="G76" s="63">
        <f>IF(A76="","",Settings!$B$4)</f>
        <v/>
      </c>
      <c r="H76" s="62">
        <f>IF(F76="","",IF(J76="Yes",ROUND(F76*G76,2),0))</f>
        <v/>
      </c>
      <c r="I76" s="62">
        <f>IF(F76="","",F76+ROUND(F76*G76,2))</f>
        <v/>
      </c>
      <c r="J76" s="61" t="n"/>
      <c r="K76" s="64">
        <f>IF(A76="","",DATE(YEAR(A76),MONTH(A76),1))</f>
        <v/>
      </c>
      <c r="L76" s="61" t="n"/>
      <c r="M76" s="65" t="n"/>
      <c r="N76" s="61" t="n"/>
    </row>
    <row r="77">
      <c r="A77" s="60" t="n"/>
      <c r="B77" s="61" t="n"/>
      <c r="C77" s="61" t="n"/>
      <c r="D77" s="61" t="n"/>
      <c r="E77" s="61" t="n"/>
      <c r="F77" s="62" t="n"/>
      <c r="G77" s="63">
        <f>IF(A77="","",Settings!$B$4)</f>
        <v/>
      </c>
      <c r="H77" s="62">
        <f>IF(F77="","",IF(J77="Yes",ROUND(F77*G77,2),0))</f>
        <v/>
      </c>
      <c r="I77" s="62">
        <f>IF(F77="","",F77+ROUND(F77*G77,2))</f>
        <v/>
      </c>
      <c r="J77" s="61" t="n"/>
      <c r="K77" s="64">
        <f>IF(A77="","",DATE(YEAR(A77),MONTH(A77),1))</f>
        <v/>
      </c>
      <c r="L77" s="61" t="n"/>
      <c r="M77" s="65" t="n"/>
      <c r="N77" s="61" t="n"/>
    </row>
    <row r="78">
      <c r="A78" s="60" t="n"/>
      <c r="B78" s="61" t="n"/>
      <c r="C78" s="61" t="n"/>
      <c r="D78" s="61" t="n"/>
      <c r="E78" s="61" t="n"/>
      <c r="F78" s="62" t="n"/>
      <c r="G78" s="63">
        <f>IF(A78="","",Settings!$B$4)</f>
        <v/>
      </c>
      <c r="H78" s="62">
        <f>IF(F78="","",IF(J78="Yes",ROUND(F78*G78,2),0))</f>
        <v/>
      </c>
      <c r="I78" s="62">
        <f>IF(F78="","",F78+ROUND(F78*G78,2))</f>
        <v/>
      </c>
      <c r="J78" s="61" t="n"/>
      <c r="K78" s="64">
        <f>IF(A78="","",DATE(YEAR(A78),MONTH(A78),1))</f>
        <v/>
      </c>
      <c r="L78" s="61" t="n"/>
      <c r="M78" s="65" t="n"/>
      <c r="N78" s="61" t="n"/>
    </row>
    <row r="79">
      <c r="A79" s="60" t="n"/>
      <c r="B79" s="61" t="n"/>
      <c r="C79" s="61" t="n"/>
      <c r="D79" s="61" t="n"/>
      <c r="E79" s="61" t="n"/>
      <c r="F79" s="62" t="n"/>
      <c r="G79" s="63">
        <f>IF(A79="","",Settings!$B$4)</f>
        <v/>
      </c>
      <c r="H79" s="62">
        <f>IF(F79="","",IF(J79="Yes",ROUND(F79*G79,2),0))</f>
        <v/>
      </c>
      <c r="I79" s="62">
        <f>IF(F79="","",F79+ROUND(F79*G79,2))</f>
        <v/>
      </c>
      <c r="J79" s="61" t="n"/>
      <c r="K79" s="64">
        <f>IF(A79="","",DATE(YEAR(A79),MONTH(A79),1))</f>
        <v/>
      </c>
      <c r="L79" s="61" t="n"/>
      <c r="M79" s="65" t="n"/>
      <c r="N79" s="61" t="n"/>
    </row>
    <row r="80">
      <c r="A80" s="60" t="n"/>
      <c r="B80" s="61" t="n"/>
      <c r="C80" s="61" t="n"/>
      <c r="D80" s="61" t="n"/>
      <c r="E80" s="61" t="n"/>
      <c r="F80" s="62" t="n"/>
      <c r="G80" s="63">
        <f>IF(A80="","",Settings!$B$4)</f>
        <v/>
      </c>
      <c r="H80" s="62">
        <f>IF(F80="","",IF(J80="Yes",ROUND(F80*G80,2),0))</f>
        <v/>
      </c>
      <c r="I80" s="62">
        <f>IF(F80="","",F80+ROUND(F80*G80,2))</f>
        <v/>
      </c>
      <c r="J80" s="61" t="n"/>
      <c r="K80" s="64">
        <f>IF(A80="","",DATE(YEAR(A80),MONTH(A80),1))</f>
        <v/>
      </c>
      <c r="L80" s="61" t="n"/>
      <c r="M80" s="65" t="n"/>
      <c r="N80" s="61" t="n"/>
    </row>
    <row r="81">
      <c r="A81" s="60" t="n"/>
      <c r="B81" s="61" t="n"/>
      <c r="C81" s="61" t="n"/>
      <c r="D81" s="61" t="n"/>
      <c r="E81" s="61" t="n"/>
      <c r="F81" s="62" t="n"/>
      <c r="G81" s="63">
        <f>IF(A81="","",Settings!$B$4)</f>
        <v/>
      </c>
      <c r="H81" s="62">
        <f>IF(F81="","",IF(J81="Yes",ROUND(F81*G81,2),0))</f>
        <v/>
      </c>
      <c r="I81" s="62">
        <f>IF(F81="","",F81+ROUND(F81*G81,2))</f>
        <v/>
      </c>
      <c r="J81" s="61" t="n"/>
      <c r="K81" s="64">
        <f>IF(A81="","",DATE(YEAR(A81),MONTH(A81),1))</f>
        <v/>
      </c>
      <c r="L81" s="61" t="n"/>
      <c r="M81" s="65" t="n"/>
      <c r="N81" s="61" t="n"/>
    </row>
    <row r="82">
      <c r="A82" s="60" t="n"/>
      <c r="B82" s="61" t="n"/>
      <c r="C82" s="61" t="n"/>
      <c r="D82" s="61" t="n"/>
      <c r="E82" s="61" t="n"/>
      <c r="F82" s="62" t="n"/>
      <c r="G82" s="63">
        <f>IF(A82="","",Settings!$B$4)</f>
        <v/>
      </c>
      <c r="H82" s="62">
        <f>IF(F82="","",IF(J82="Yes",ROUND(F82*G82,2),0))</f>
        <v/>
      </c>
      <c r="I82" s="62">
        <f>IF(F82="","",F82+ROUND(F82*G82,2))</f>
        <v/>
      </c>
      <c r="J82" s="61" t="n"/>
      <c r="K82" s="64">
        <f>IF(A82="","",DATE(YEAR(A82),MONTH(A82),1))</f>
        <v/>
      </c>
      <c r="L82" s="61" t="n"/>
      <c r="M82" s="65" t="n"/>
      <c r="N82" s="61" t="n"/>
    </row>
    <row r="83">
      <c r="A83" s="60" t="n"/>
      <c r="B83" s="61" t="n"/>
      <c r="C83" s="61" t="n"/>
      <c r="D83" s="61" t="n"/>
      <c r="E83" s="61" t="n"/>
      <c r="F83" s="62" t="n"/>
      <c r="G83" s="63">
        <f>IF(A83="","",Settings!$B$4)</f>
        <v/>
      </c>
      <c r="H83" s="62">
        <f>IF(F83="","",IF(J83="Yes",ROUND(F83*G83,2),0))</f>
        <v/>
      </c>
      <c r="I83" s="62">
        <f>IF(F83="","",F83+ROUND(F83*G83,2))</f>
        <v/>
      </c>
      <c r="J83" s="61" t="n"/>
      <c r="K83" s="64">
        <f>IF(A83="","",DATE(YEAR(A83),MONTH(A83),1))</f>
        <v/>
      </c>
      <c r="L83" s="61" t="n"/>
      <c r="M83" s="65" t="n"/>
      <c r="N83" s="61" t="n"/>
    </row>
    <row r="84">
      <c r="A84" s="60" t="n"/>
      <c r="B84" s="61" t="n"/>
      <c r="C84" s="61" t="n"/>
      <c r="D84" s="61" t="n"/>
      <c r="E84" s="61" t="n"/>
      <c r="F84" s="62" t="n"/>
      <c r="G84" s="63">
        <f>IF(A84="","",Settings!$B$4)</f>
        <v/>
      </c>
      <c r="H84" s="62">
        <f>IF(F84="","",IF(J84="Yes",ROUND(F84*G84,2),0))</f>
        <v/>
      </c>
      <c r="I84" s="62">
        <f>IF(F84="","",F84+ROUND(F84*G84,2))</f>
        <v/>
      </c>
      <c r="J84" s="61" t="n"/>
      <c r="K84" s="64">
        <f>IF(A84="","",DATE(YEAR(A84),MONTH(A84),1))</f>
        <v/>
      </c>
      <c r="L84" s="61" t="n"/>
      <c r="M84" s="65" t="n"/>
      <c r="N84" s="61" t="n"/>
    </row>
    <row r="85">
      <c r="A85" s="60" t="n"/>
      <c r="B85" s="61" t="n"/>
      <c r="C85" s="61" t="n"/>
      <c r="D85" s="61" t="n"/>
      <c r="E85" s="61" t="n"/>
      <c r="F85" s="62" t="n"/>
      <c r="G85" s="63">
        <f>IF(A85="","",Settings!$B$4)</f>
        <v/>
      </c>
      <c r="H85" s="62">
        <f>IF(F85="","",IF(J85="Yes",ROUND(F85*G85,2),0))</f>
        <v/>
      </c>
      <c r="I85" s="62">
        <f>IF(F85="","",F85+ROUND(F85*G85,2))</f>
        <v/>
      </c>
      <c r="J85" s="61" t="n"/>
      <c r="K85" s="64">
        <f>IF(A85="","",DATE(YEAR(A85),MONTH(A85),1))</f>
        <v/>
      </c>
      <c r="L85" s="61" t="n"/>
      <c r="M85" s="65" t="n"/>
      <c r="N85" s="61" t="n"/>
    </row>
    <row r="86">
      <c r="A86" s="60" t="n"/>
      <c r="B86" s="61" t="n"/>
      <c r="C86" s="61" t="n"/>
      <c r="D86" s="61" t="n"/>
      <c r="E86" s="61" t="n"/>
      <c r="F86" s="62" t="n"/>
      <c r="G86" s="63">
        <f>IF(A86="","",Settings!$B$4)</f>
        <v/>
      </c>
      <c r="H86" s="62">
        <f>IF(F86="","",IF(J86="Yes",ROUND(F86*G86,2),0))</f>
        <v/>
      </c>
      <c r="I86" s="62">
        <f>IF(F86="","",F86+ROUND(F86*G86,2))</f>
        <v/>
      </c>
      <c r="J86" s="61" t="n"/>
      <c r="K86" s="64">
        <f>IF(A86="","",DATE(YEAR(A86),MONTH(A86),1))</f>
        <v/>
      </c>
      <c r="L86" s="61" t="n"/>
      <c r="M86" s="65" t="n"/>
      <c r="N86" s="61" t="n"/>
    </row>
    <row r="87">
      <c r="A87" s="60" t="n"/>
      <c r="B87" s="61" t="n"/>
      <c r="C87" s="61" t="n"/>
      <c r="D87" s="61" t="n"/>
      <c r="E87" s="61" t="n"/>
      <c r="F87" s="62" t="n"/>
      <c r="G87" s="63">
        <f>IF(A87="","",Settings!$B$4)</f>
        <v/>
      </c>
      <c r="H87" s="62">
        <f>IF(F87="","",IF(J87="Yes",ROUND(F87*G87,2),0))</f>
        <v/>
      </c>
      <c r="I87" s="62">
        <f>IF(F87="","",F87+ROUND(F87*G87,2))</f>
        <v/>
      </c>
      <c r="J87" s="61" t="n"/>
      <c r="K87" s="64">
        <f>IF(A87="","",DATE(YEAR(A87),MONTH(A87),1))</f>
        <v/>
      </c>
      <c r="L87" s="61" t="n"/>
      <c r="M87" s="65" t="n"/>
      <c r="N87" s="61" t="n"/>
    </row>
    <row r="88">
      <c r="A88" s="60" t="n"/>
      <c r="B88" s="61" t="n"/>
      <c r="C88" s="61" t="n"/>
      <c r="D88" s="61" t="n"/>
      <c r="E88" s="61" t="n"/>
      <c r="F88" s="62" t="n"/>
      <c r="G88" s="63">
        <f>IF(A88="","",Settings!$B$4)</f>
        <v/>
      </c>
      <c r="H88" s="62">
        <f>IF(F88="","",IF(J88="Yes",ROUND(F88*G88,2),0))</f>
        <v/>
      </c>
      <c r="I88" s="62">
        <f>IF(F88="","",F88+ROUND(F88*G88,2))</f>
        <v/>
      </c>
      <c r="J88" s="61" t="n"/>
      <c r="K88" s="64">
        <f>IF(A88="","",DATE(YEAR(A88),MONTH(A88),1))</f>
        <v/>
      </c>
      <c r="L88" s="61" t="n"/>
      <c r="M88" s="65" t="n"/>
      <c r="N88" s="61" t="n"/>
    </row>
    <row r="89">
      <c r="A89" s="60" t="n"/>
      <c r="B89" s="61" t="n"/>
      <c r="C89" s="61" t="n"/>
      <c r="D89" s="61" t="n"/>
      <c r="E89" s="61" t="n"/>
      <c r="F89" s="62" t="n"/>
      <c r="G89" s="63">
        <f>IF(A89="","",Settings!$B$4)</f>
        <v/>
      </c>
      <c r="H89" s="62">
        <f>IF(F89="","",IF(J89="Yes",ROUND(F89*G89,2),0))</f>
        <v/>
      </c>
      <c r="I89" s="62">
        <f>IF(F89="","",F89+ROUND(F89*G89,2))</f>
        <v/>
      </c>
      <c r="J89" s="61" t="n"/>
      <c r="K89" s="64">
        <f>IF(A89="","",DATE(YEAR(A89),MONTH(A89),1))</f>
        <v/>
      </c>
      <c r="L89" s="61" t="n"/>
      <c r="M89" s="65" t="n"/>
      <c r="N89" s="61" t="n"/>
    </row>
    <row r="90">
      <c r="A90" s="60" t="n"/>
      <c r="B90" s="61" t="n"/>
      <c r="C90" s="61" t="n"/>
      <c r="D90" s="61" t="n"/>
      <c r="E90" s="61" t="n"/>
      <c r="F90" s="62" t="n"/>
      <c r="G90" s="63">
        <f>IF(A90="","",Settings!$B$4)</f>
        <v/>
      </c>
      <c r="H90" s="62">
        <f>IF(F90="","",IF(J90="Yes",ROUND(F90*G90,2),0))</f>
        <v/>
      </c>
      <c r="I90" s="62">
        <f>IF(F90="","",F90+ROUND(F90*G90,2))</f>
        <v/>
      </c>
      <c r="J90" s="61" t="n"/>
      <c r="K90" s="64">
        <f>IF(A90="","",DATE(YEAR(A90),MONTH(A90),1))</f>
        <v/>
      </c>
      <c r="L90" s="61" t="n"/>
      <c r="M90" s="65" t="n"/>
      <c r="N90" s="61" t="n"/>
    </row>
    <row r="91">
      <c r="A91" s="60" t="n"/>
      <c r="B91" s="61" t="n"/>
      <c r="C91" s="61" t="n"/>
      <c r="D91" s="61" t="n"/>
      <c r="E91" s="61" t="n"/>
      <c r="F91" s="62" t="n"/>
      <c r="G91" s="63">
        <f>IF(A91="","",Settings!$B$4)</f>
        <v/>
      </c>
      <c r="H91" s="62">
        <f>IF(F91="","",IF(J91="Yes",ROUND(F91*G91,2),0))</f>
        <v/>
      </c>
      <c r="I91" s="62">
        <f>IF(F91="","",F91+ROUND(F91*G91,2))</f>
        <v/>
      </c>
      <c r="J91" s="61" t="n"/>
      <c r="K91" s="64">
        <f>IF(A91="","",DATE(YEAR(A91),MONTH(A91),1))</f>
        <v/>
      </c>
      <c r="L91" s="61" t="n"/>
      <c r="M91" s="65" t="n"/>
      <c r="N91" s="61" t="n"/>
    </row>
    <row r="92">
      <c r="A92" s="60" t="n"/>
      <c r="B92" s="61" t="n"/>
      <c r="C92" s="61" t="n"/>
      <c r="D92" s="61" t="n"/>
      <c r="E92" s="61" t="n"/>
      <c r="F92" s="62" t="n"/>
      <c r="G92" s="63">
        <f>IF(A92="","",Settings!$B$4)</f>
        <v/>
      </c>
      <c r="H92" s="62">
        <f>IF(F92="","",IF(J92="Yes",ROUND(F92*G92,2),0))</f>
        <v/>
      </c>
      <c r="I92" s="62">
        <f>IF(F92="","",F92+ROUND(F92*G92,2))</f>
        <v/>
      </c>
      <c r="J92" s="61" t="n"/>
      <c r="K92" s="64">
        <f>IF(A92="","",DATE(YEAR(A92),MONTH(A92),1))</f>
        <v/>
      </c>
      <c r="L92" s="61" t="n"/>
      <c r="M92" s="65" t="n"/>
      <c r="N92" s="61" t="n"/>
    </row>
    <row r="93">
      <c r="A93" s="60" t="n"/>
      <c r="B93" s="61" t="n"/>
      <c r="C93" s="61" t="n"/>
      <c r="D93" s="61" t="n"/>
      <c r="E93" s="61" t="n"/>
      <c r="F93" s="62" t="n"/>
      <c r="G93" s="63">
        <f>IF(A93="","",Settings!$B$4)</f>
        <v/>
      </c>
      <c r="H93" s="62">
        <f>IF(F93="","",IF(J93="Yes",ROUND(F93*G93,2),0))</f>
        <v/>
      </c>
      <c r="I93" s="62">
        <f>IF(F93="","",F93+ROUND(F93*G93,2))</f>
        <v/>
      </c>
      <c r="J93" s="61" t="n"/>
      <c r="K93" s="64">
        <f>IF(A93="","",DATE(YEAR(A93),MONTH(A93),1))</f>
        <v/>
      </c>
      <c r="L93" s="61" t="n"/>
      <c r="M93" s="65" t="n"/>
      <c r="N93" s="61" t="n"/>
    </row>
    <row r="95">
      <c r="A95" s="58" t="inlineStr">
        <is>
          <t>May 2026 / เดือน May</t>
        </is>
      </c>
    </row>
    <row r="96">
      <c r="A96" s="59" t="inlineStr">
        <is>
          <t>วันที่</t>
        </is>
      </c>
      <c r="B96" s="59" t="inlineStr">
        <is>
          <t>เลขที่บิล/ใบกำกับ</t>
        </is>
      </c>
      <c r="C96" s="59" t="inlineStr">
        <is>
          <t>ผู้ขาย</t>
        </is>
      </c>
      <c r="D96" s="59" t="inlineStr">
        <is>
          <t>รายละเอียด</t>
        </is>
      </c>
      <c r="E96" s="59" t="inlineStr">
        <is>
          <t>หมวด</t>
        </is>
      </c>
      <c r="F96" s="59" t="inlineStr">
        <is>
          <t>ยอดก่อน VAT</t>
        </is>
      </c>
      <c r="G96" s="59" t="inlineStr">
        <is>
          <t>อัตรา VAT</t>
        </is>
      </c>
      <c r="H96" s="59" t="inlineStr">
        <is>
          <t>ภาษีซื้อ</t>
        </is>
      </c>
      <c r="I96" s="59" t="inlineStr">
        <is>
          <t>ยอดรวม</t>
        </is>
      </c>
      <c r="J96" s="59" t="inlineStr">
        <is>
          <t>ขอคืน VAT ได้?</t>
        </is>
      </c>
      <c r="K96" s="59" t="inlineStr">
        <is>
          <t>เดือน</t>
        </is>
      </c>
      <c r="L96" s="59" t="inlineStr">
        <is>
          <t>ไฟล์บิล</t>
        </is>
      </c>
      <c r="M96" s="59" t="inlineStr">
        <is>
          <t>OCR Confidence</t>
        </is>
      </c>
      <c r="N96" s="59" t="inlineStr">
        <is>
          <t>หมายเหตุ</t>
        </is>
      </c>
    </row>
    <row r="97">
      <c r="A97" s="60" t="n"/>
      <c r="B97" s="61" t="n"/>
      <c r="C97" s="61" t="n"/>
      <c r="D97" s="61" t="n"/>
      <c r="E97" s="61" t="n"/>
      <c r="F97" s="62" t="n"/>
      <c r="G97" s="63">
        <f>IF(A97="","",Settings!$B$4)</f>
        <v/>
      </c>
      <c r="H97" s="62">
        <f>IF(F97="","",IF(J97="Yes",ROUND(F97*G97,2),0))</f>
        <v/>
      </c>
      <c r="I97" s="62">
        <f>IF(F97="","",F97+ROUND(F97*G97,2))</f>
        <v/>
      </c>
      <c r="J97" s="61" t="n"/>
      <c r="K97" s="64">
        <f>IF(A97="","",DATE(YEAR(A97),MONTH(A97),1))</f>
        <v/>
      </c>
      <c r="L97" s="61" t="n"/>
      <c r="M97" s="65" t="n"/>
      <c r="N97" s="61" t="n"/>
    </row>
    <row r="98">
      <c r="A98" s="60" t="n"/>
      <c r="B98" s="61" t="n"/>
      <c r="C98" s="61" t="n"/>
      <c r="D98" s="61" t="n"/>
      <c r="E98" s="61" t="n"/>
      <c r="F98" s="62" t="n"/>
      <c r="G98" s="63">
        <f>IF(A98="","",Settings!$B$4)</f>
        <v/>
      </c>
      <c r="H98" s="62">
        <f>IF(F98="","",IF(J98="Yes",ROUND(F98*G98,2),0))</f>
        <v/>
      </c>
      <c r="I98" s="62">
        <f>IF(F98="","",F98+ROUND(F98*G98,2))</f>
        <v/>
      </c>
      <c r="J98" s="61" t="n"/>
      <c r="K98" s="64">
        <f>IF(A98="","",DATE(YEAR(A98),MONTH(A98),1))</f>
        <v/>
      </c>
      <c r="L98" s="61" t="n"/>
      <c r="M98" s="65" t="n"/>
      <c r="N98" s="61" t="n"/>
    </row>
    <row r="99">
      <c r="A99" s="60" t="n"/>
      <c r="B99" s="61" t="n"/>
      <c r="C99" s="61" t="n"/>
      <c r="D99" s="61" t="n"/>
      <c r="E99" s="61" t="n"/>
      <c r="F99" s="62" t="n"/>
      <c r="G99" s="63">
        <f>IF(A99="","",Settings!$B$4)</f>
        <v/>
      </c>
      <c r="H99" s="62">
        <f>IF(F99="","",IF(J99="Yes",ROUND(F99*G99,2),0))</f>
        <v/>
      </c>
      <c r="I99" s="62">
        <f>IF(F99="","",F99+ROUND(F99*G99,2))</f>
        <v/>
      </c>
      <c r="J99" s="61" t="n"/>
      <c r="K99" s="64">
        <f>IF(A99="","",DATE(YEAR(A99),MONTH(A99),1))</f>
        <v/>
      </c>
      <c r="L99" s="61" t="n"/>
      <c r="M99" s="65" t="n"/>
      <c r="N99" s="61" t="n"/>
    </row>
    <row r="100">
      <c r="A100" s="60" t="n"/>
      <c r="B100" s="61" t="n"/>
      <c r="C100" s="61" t="n"/>
      <c r="D100" s="61" t="n"/>
      <c r="E100" s="61" t="n"/>
      <c r="F100" s="62" t="n"/>
      <c r="G100" s="63">
        <f>IF(A100="","",Settings!$B$4)</f>
        <v/>
      </c>
      <c r="H100" s="62">
        <f>IF(F100="","",IF(J100="Yes",ROUND(F100*G100,2),0))</f>
        <v/>
      </c>
      <c r="I100" s="62">
        <f>IF(F100="","",F100+ROUND(F100*G100,2))</f>
        <v/>
      </c>
      <c r="J100" s="61" t="n"/>
      <c r="K100" s="64">
        <f>IF(A100="","",DATE(YEAR(A100),MONTH(A100),1))</f>
        <v/>
      </c>
      <c r="L100" s="61" t="n"/>
      <c r="M100" s="65" t="n"/>
      <c r="N100" s="61" t="n"/>
    </row>
    <row r="101">
      <c r="A101" s="60" t="n"/>
      <c r="B101" s="61" t="n"/>
      <c r="C101" s="61" t="n"/>
      <c r="D101" s="61" t="n"/>
      <c r="E101" s="61" t="n"/>
      <c r="F101" s="62" t="n"/>
      <c r="G101" s="63">
        <f>IF(A101="","",Settings!$B$4)</f>
        <v/>
      </c>
      <c r="H101" s="62">
        <f>IF(F101="","",IF(J101="Yes",ROUND(F101*G101,2),0))</f>
        <v/>
      </c>
      <c r="I101" s="62">
        <f>IF(F101="","",F101+ROUND(F101*G101,2))</f>
        <v/>
      </c>
      <c r="J101" s="61" t="n"/>
      <c r="K101" s="64">
        <f>IF(A101="","",DATE(YEAR(A101),MONTH(A101),1))</f>
        <v/>
      </c>
      <c r="L101" s="61" t="n"/>
      <c r="M101" s="65" t="n"/>
      <c r="N101" s="61" t="n"/>
    </row>
    <row r="102">
      <c r="A102" s="60" t="n"/>
      <c r="B102" s="61" t="n"/>
      <c r="C102" s="61" t="n"/>
      <c r="D102" s="61" t="n"/>
      <c r="E102" s="61" t="n"/>
      <c r="F102" s="62" t="n"/>
      <c r="G102" s="63">
        <f>IF(A102="","",Settings!$B$4)</f>
        <v/>
      </c>
      <c r="H102" s="62">
        <f>IF(F102="","",IF(J102="Yes",ROUND(F102*G102,2),0))</f>
        <v/>
      </c>
      <c r="I102" s="62">
        <f>IF(F102="","",F102+ROUND(F102*G102,2))</f>
        <v/>
      </c>
      <c r="J102" s="61" t="n"/>
      <c r="K102" s="64">
        <f>IF(A102="","",DATE(YEAR(A102),MONTH(A102),1))</f>
        <v/>
      </c>
      <c r="L102" s="61" t="n"/>
      <c r="M102" s="65" t="n"/>
      <c r="N102" s="61" t="n"/>
    </row>
    <row r="103">
      <c r="A103" s="60" t="n"/>
      <c r="B103" s="61" t="n"/>
      <c r="C103" s="61" t="n"/>
      <c r="D103" s="61" t="n"/>
      <c r="E103" s="61" t="n"/>
      <c r="F103" s="62" t="n"/>
      <c r="G103" s="63">
        <f>IF(A103="","",Settings!$B$4)</f>
        <v/>
      </c>
      <c r="H103" s="62">
        <f>IF(F103="","",IF(J103="Yes",ROUND(F103*G103,2),0))</f>
        <v/>
      </c>
      <c r="I103" s="62">
        <f>IF(F103="","",F103+ROUND(F103*G103,2))</f>
        <v/>
      </c>
      <c r="J103" s="61" t="n"/>
      <c r="K103" s="64">
        <f>IF(A103="","",DATE(YEAR(A103),MONTH(A103),1))</f>
        <v/>
      </c>
      <c r="L103" s="61" t="n"/>
      <c r="M103" s="65" t="n"/>
      <c r="N103" s="61" t="n"/>
    </row>
    <row r="104">
      <c r="A104" s="60" t="n"/>
      <c r="B104" s="61" t="n"/>
      <c r="C104" s="61" t="n"/>
      <c r="D104" s="61" t="n"/>
      <c r="E104" s="61" t="n"/>
      <c r="F104" s="62" t="n"/>
      <c r="G104" s="63">
        <f>IF(A104="","",Settings!$B$4)</f>
        <v/>
      </c>
      <c r="H104" s="62">
        <f>IF(F104="","",IF(J104="Yes",ROUND(F104*G104,2),0))</f>
        <v/>
      </c>
      <c r="I104" s="62">
        <f>IF(F104="","",F104+ROUND(F104*G104,2))</f>
        <v/>
      </c>
      <c r="J104" s="61" t="n"/>
      <c r="K104" s="64">
        <f>IF(A104="","",DATE(YEAR(A104),MONTH(A104),1))</f>
        <v/>
      </c>
      <c r="L104" s="61" t="n"/>
      <c r="M104" s="65" t="n"/>
      <c r="N104" s="61" t="n"/>
    </row>
    <row r="105">
      <c r="A105" s="60" t="n"/>
      <c r="B105" s="61" t="n"/>
      <c r="C105" s="61" t="n"/>
      <c r="D105" s="61" t="n"/>
      <c r="E105" s="61" t="n"/>
      <c r="F105" s="62" t="n"/>
      <c r="G105" s="63">
        <f>IF(A105="","",Settings!$B$4)</f>
        <v/>
      </c>
      <c r="H105" s="62">
        <f>IF(F105="","",IF(J105="Yes",ROUND(F105*G105,2),0))</f>
        <v/>
      </c>
      <c r="I105" s="62">
        <f>IF(F105="","",F105+ROUND(F105*G105,2))</f>
        <v/>
      </c>
      <c r="J105" s="61" t="n"/>
      <c r="K105" s="64">
        <f>IF(A105="","",DATE(YEAR(A105),MONTH(A105),1))</f>
        <v/>
      </c>
      <c r="L105" s="61" t="n"/>
      <c r="M105" s="65" t="n"/>
      <c r="N105" s="61" t="n"/>
    </row>
    <row r="106">
      <c r="A106" s="60" t="n"/>
      <c r="B106" s="61" t="n"/>
      <c r="C106" s="61" t="n"/>
      <c r="D106" s="61" t="n"/>
      <c r="E106" s="61" t="n"/>
      <c r="F106" s="62" t="n"/>
      <c r="G106" s="63">
        <f>IF(A106="","",Settings!$B$4)</f>
        <v/>
      </c>
      <c r="H106" s="62">
        <f>IF(F106="","",IF(J106="Yes",ROUND(F106*G106,2),0))</f>
        <v/>
      </c>
      <c r="I106" s="62">
        <f>IF(F106="","",F106+ROUND(F106*G106,2))</f>
        <v/>
      </c>
      <c r="J106" s="61" t="n"/>
      <c r="K106" s="64">
        <f>IF(A106="","",DATE(YEAR(A106),MONTH(A106),1))</f>
        <v/>
      </c>
      <c r="L106" s="61" t="n"/>
      <c r="M106" s="65" t="n"/>
      <c r="N106" s="61" t="n"/>
    </row>
    <row r="107">
      <c r="A107" s="60" t="n"/>
      <c r="B107" s="61" t="n"/>
      <c r="C107" s="61" t="n"/>
      <c r="D107" s="61" t="n"/>
      <c r="E107" s="61" t="n"/>
      <c r="F107" s="62" t="n"/>
      <c r="G107" s="63">
        <f>IF(A107="","",Settings!$B$4)</f>
        <v/>
      </c>
      <c r="H107" s="62">
        <f>IF(F107="","",IF(J107="Yes",ROUND(F107*G107,2),0))</f>
        <v/>
      </c>
      <c r="I107" s="62">
        <f>IF(F107="","",F107+ROUND(F107*G107,2))</f>
        <v/>
      </c>
      <c r="J107" s="61" t="n"/>
      <c r="K107" s="64">
        <f>IF(A107="","",DATE(YEAR(A107),MONTH(A107),1))</f>
        <v/>
      </c>
      <c r="L107" s="61" t="n"/>
      <c r="M107" s="65" t="n"/>
      <c r="N107" s="61" t="n"/>
    </row>
    <row r="108">
      <c r="A108" s="60" t="n"/>
      <c r="B108" s="61" t="n"/>
      <c r="C108" s="61" t="n"/>
      <c r="D108" s="61" t="n"/>
      <c r="E108" s="61" t="n"/>
      <c r="F108" s="62" t="n"/>
      <c r="G108" s="63">
        <f>IF(A108="","",Settings!$B$4)</f>
        <v/>
      </c>
      <c r="H108" s="62">
        <f>IF(F108="","",IF(J108="Yes",ROUND(F108*G108,2),0))</f>
        <v/>
      </c>
      <c r="I108" s="62">
        <f>IF(F108="","",F108+ROUND(F108*G108,2))</f>
        <v/>
      </c>
      <c r="J108" s="61" t="n"/>
      <c r="K108" s="64">
        <f>IF(A108="","",DATE(YEAR(A108),MONTH(A108),1))</f>
        <v/>
      </c>
      <c r="L108" s="61" t="n"/>
      <c r="M108" s="65" t="n"/>
      <c r="N108" s="61" t="n"/>
    </row>
    <row r="109">
      <c r="A109" s="60" t="n"/>
      <c r="B109" s="61" t="n"/>
      <c r="C109" s="61" t="n"/>
      <c r="D109" s="61" t="n"/>
      <c r="E109" s="61" t="n"/>
      <c r="F109" s="62" t="n"/>
      <c r="G109" s="63">
        <f>IF(A109="","",Settings!$B$4)</f>
        <v/>
      </c>
      <c r="H109" s="62">
        <f>IF(F109="","",IF(J109="Yes",ROUND(F109*G109,2),0))</f>
        <v/>
      </c>
      <c r="I109" s="62">
        <f>IF(F109="","",F109+ROUND(F109*G109,2))</f>
        <v/>
      </c>
      <c r="J109" s="61" t="n"/>
      <c r="K109" s="64">
        <f>IF(A109="","",DATE(YEAR(A109),MONTH(A109),1))</f>
        <v/>
      </c>
      <c r="L109" s="61" t="n"/>
      <c r="M109" s="65" t="n"/>
      <c r="N109" s="61" t="n"/>
    </row>
    <row r="110">
      <c r="A110" s="60" t="n"/>
      <c r="B110" s="61" t="n"/>
      <c r="C110" s="61" t="n"/>
      <c r="D110" s="61" t="n"/>
      <c r="E110" s="61" t="n"/>
      <c r="F110" s="62" t="n"/>
      <c r="G110" s="63">
        <f>IF(A110="","",Settings!$B$4)</f>
        <v/>
      </c>
      <c r="H110" s="62">
        <f>IF(F110="","",IF(J110="Yes",ROUND(F110*G110,2),0))</f>
        <v/>
      </c>
      <c r="I110" s="62">
        <f>IF(F110="","",F110+ROUND(F110*G110,2))</f>
        <v/>
      </c>
      <c r="J110" s="61" t="n"/>
      <c r="K110" s="64">
        <f>IF(A110="","",DATE(YEAR(A110),MONTH(A110),1))</f>
        <v/>
      </c>
      <c r="L110" s="61" t="n"/>
      <c r="M110" s="65" t="n"/>
      <c r="N110" s="61" t="n"/>
    </row>
    <row r="111">
      <c r="A111" s="60" t="n"/>
      <c r="B111" s="61" t="n"/>
      <c r="C111" s="61" t="n"/>
      <c r="D111" s="61" t="n"/>
      <c r="E111" s="61" t="n"/>
      <c r="F111" s="62" t="n"/>
      <c r="G111" s="63">
        <f>IF(A111="","",Settings!$B$4)</f>
        <v/>
      </c>
      <c r="H111" s="62">
        <f>IF(F111="","",IF(J111="Yes",ROUND(F111*G111,2),0))</f>
        <v/>
      </c>
      <c r="I111" s="62">
        <f>IF(F111="","",F111+ROUND(F111*G111,2))</f>
        <v/>
      </c>
      <c r="J111" s="61" t="n"/>
      <c r="K111" s="64">
        <f>IF(A111="","",DATE(YEAR(A111),MONTH(A111),1))</f>
        <v/>
      </c>
      <c r="L111" s="61" t="n"/>
      <c r="M111" s="65" t="n"/>
      <c r="N111" s="61" t="n"/>
    </row>
    <row r="112">
      <c r="A112" s="60" t="n"/>
      <c r="B112" s="61" t="n"/>
      <c r="C112" s="61" t="n"/>
      <c r="D112" s="61" t="n"/>
      <c r="E112" s="61" t="n"/>
      <c r="F112" s="62" t="n"/>
      <c r="G112" s="63">
        <f>IF(A112="","",Settings!$B$4)</f>
        <v/>
      </c>
      <c r="H112" s="62">
        <f>IF(F112="","",IF(J112="Yes",ROUND(F112*G112,2),0))</f>
        <v/>
      </c>
      <c r="I112" s="62">
        <f>IF(F112="","",F112+ROUND(F112*G112,2))</f>
        <v/>
      </c>
      <c r="J112" s="61" t="n"/>
      <c r="K112" s="64">
        <f>IF(A112="","",DATE(YEAR(A112),MONTH(A112),1))</f>
        <v/>
      </c>
      <c r="L112" s="61" t="n"/>
      <c r="M112" s="65" t="n"/>
      <c r="N112" s="61" t="n"/>
    </row>
    <row r="113">
      <c r="A113" s="60" t="n"/>
      <c r="B113" s="61" t="n"/>
      <c r="C113" s="61" t="n"/>
      <c r="D113" s="61" t="n"/>
      <c r="E113" s="61" t="n"/>
      <c r="F113" s="62" t="n"/>
      <c r="G113" s="63">
        <f>IF(A113="","",Settings!$B$4)</f>
        <v/>
      </c>
      <c r="H113" s="62">
        <f>IF(F113="","",IF(J113="Yes",ROUND(F113*G113,2),0))</f>
        <v/>
      </c>
      <c r="I113" s="62">
        <f>IF(F113="","",F113+ROUND(F113*G113,2))</f>
        <v/>
      </c>
      <c r="J113" s="61" t="n"/>
      <c r="K113" s="64">
        <f>IF(A113="","",DATE(YEAR(A113),MONTH(A113),1))</f>
        <v/>
      </c>
      <c r="L113" s="61" t="n"/>
      <c r="M113" s="65" t="n"/>
      <c r="N113" s="61" t="n"/>
    </row>
    <row r="114">
      <c r="A114" s="60" t="n"/>
      <c r="B114" s="61" t="n"/>
      <c r="C114" s="61" t="n"/>
      <c r="D114" s="61" t="n"/>
      <c r="E114" s="61" t="n"/>
      <c r="F114" s="62" t="n"/>
      <c r="G114" s="63">
        <f>IF(A114="","",Settings!$B$4)</f>
        <v/>
      </c>
      <c r="H114" s="62">
        <f>IF(F114="","",IF(J114="Yes",ROUND(F114*G114,2),0))</f>
        <v/>
      </c>
      <c r="I114" s="62">
        <f>IF(F114="","",F114+ROUND(F114*G114,2))</f>
        <v/>
      </c>
      <c r="J114" s="61" t="n"/>
      <c r="K114" s="64">
        <f>IF(A114="","",DATE(YEAR(A114),MONTH(A114),1))</f>
        <v/>
      </c>
      <c r="L114" s="61" t="n"/>
      <c r="M114" s="65" t="n"/>
      <c r="N114" s="61" t="n"/>
    </row>
    <row r="115">
      <c r="A115" s="60" t="n"/>
      <c r="B115" s="61" t="n"/>
      <c r="C115" s="61" t="n"/>
      <c r="D115" s="61" t="n"/>
      <c r="E115" s="61" t="n"/>
      <c r="F115" s="62" t="n"/>
      <c r="G115" s="63">
        <f>IF(A115="","",Settings!$B$4)</f>
        <v/>
      </c>
      <c r="H115" s="62">
        <f>IF(F115="","",IF(J115="Yes",ROUND(F115*G115,2),0))</f>
        <v/>
      </c>
      <c r="I115" s="62">
        <f>IF(F115="","",F115+ROUND(F115*G115,2))</f>
        <v/>
      </c>
      <c r="J115" s="61" t="n"/>
      <c r="K115" s="64">
        <f>IF(A115="","",DATE(YEAR(A115),MONTH(A115),1))</f>
        <v/>
      </c>
      <c r="L115" s="61" t="n"/>
      <c r="M115" s="65" t="n"/>
      <c r="N115" s="61" t="n"/>
    </row>
    <row r="116">
      <c r="A116" s="60" t="n"/>
      <c r="B116" s="61" t="n"/>
      <c r="C116" s="61" t="n"/>
      <c r="D116" s="61" t="n"/>
      <c r="E116" s="61" t="n"/>
      <c r="F116" s="62" t="n"/>
      <c r="G116" s="63">
        <f>IF(A116="","",Settings!$B$4)</f>
        <v/>
      </c>
      <c r="H116" s="62">
        <f>IF(F116="","",IF(J116="Yes",ROUND(F116*G116,2),0))</f>
        <v/>
      </c>
      <c r="I116" s="62">
        <f>IF(F116="","",F116+ROUND(F116*G116,2))</f>
        <v/>
      </c>
      <c r="J116" s="61" t="n"/>
      <c r="K116" s="64">
        <f>IF(A116="","",DATE(YEAR(A116),MONTH(A116),1))</f>
        <v/>
      </c>
      <c r="L116" s="61" t="n"/>
      <c r="M116" s="65" t="n"/>
      <c r="N116" s="61" t="n"/>
    </row>
    <row r="118">
      <c r="A118" s="58" t="inlineStr">
        <is>
          <t>June 2026 / เดือน Jun</t>
        </is>
      </c>
    </row>
    <row r="119">
      <c r="A119" s="59" t="inlineStr">
        <is>
          <t>วันที่</t>
        </is>
      </c>
      <c r="B119" s="59" t="inlineStr">
        <is>
          <t>เลขที่บิล/ใบกำกับ</t>
        </is>
      </c>
      <c r="C119" s="59" t="inlineStr">
        <is>
          <t>ผู้ขาย</t>
        </is>
      </c>
      <c r="D119" s="59" t="inlineStr">
        <is>
          <t>รายละเอียด</t>
        </is>
      </c>
      <c r="E119" s="59" t="inlineStr">
        <is>
          <t>หมวด</t>
        </is>
      </c>
      <c r="F119" s="59" t="inlineStr">
        <is>
          <t>ยอดก่อน VAT</t>
        </is>
      </c>
      <c r="G119" s="59" t="inlineStr">
        <is>
          <t>อัตรา VAT</t>
        </is>
      </c>
      <c r="H119" s="59" t="inlineStr">
        <is>
          <t>ภาษีซื้อ</t>
        </is>
      </c>
      <c r="I119" s="59" t="inlineStr">
        <is>
          <t>ยอดรวม</t>
        </is>
      </c>
      <c r="J119" s="59" t="inlineStr">
        <is>
          <t>ขอคืน VAT ได้?</t>
        </is>
      </c>
      <c r="K119" s="59" t="inlineStr">
        <is>
          <t>เดือน</t>
        </is>
      </c>
      <c r="L119" s="59" t="inlineStr">
        <is>
          <t>ไฟล์บิล</t>
        </is>
      </c>
      <c r="M119" s="59" t="inlineStr">
        <is>
          <t>OCR Confidence</t>
        </is>
      </c>
      <c r="N119" s="59" t="inlineStr">
        <is>
          <t>หมายเหตุ</t>
        </is>
      </c>
    </row>
    <row r="120">
      <c r="A120" s="60" t="n"/>
      <c r="B120" s="61" t="n"/>
      <c r="C120" s="61" t="n"/>
      <c r="D120" s="61" t="n"/>
      <c r="E120" s="61" t="n"/>
      <c r="F120" s="62" t="n"/>
      <c r="G120" s="63">
        <f>IF(A120="","",Settings!$B$4)</f>
        <v/>
      </c>
      <c r="H120" s="62">
        <f>IF(F120="","",IF(J120="Yes",ROUND(F120*G120,2),0))</f>
        <v/>
      </c>
      <c r="I120" s="62">
        <f>IF(F120="","",F120+ROUND(F120*G120,2))</f>
        <v/>
      </c>
      <c r="J120" s="61" t="n"/>
      <c r="K120" s="64">
        <f>IF(A120="","",DATE(YEAR(A120),MONTH(A120),1))</f>
        <v/>
      </c>
      <c r="L120" s="61" t="n"/>
      <c r="M120" s="65" t="n"/>
      <c r="N120" s="61" t="n"/>
    </row>
    <row r="121">
      <c r="A121" s="60" t="n"/>
      <c r="B121" s="61" t="n"/>
      <c r="C121" s="61" t="n"/>
      <c r="D121" s="61" t="n"/>
      <c r="E121" s="61" t="n"/>
      <c r="F121" s="62" t="n"/>
      <c r="G121" s="63">
        <f>IF(A121="","",Settings!$B$4)</f>
        <v/>
      </c>
      <c r="H121" s="62">
        <f>IF(F121="","",IF(J121="Yes",ROUND(F121*G121,2),0))</f>
        <v/>
      </c>
      <c r="I121" s="62">
        <f>IF(F121="","",F121+ROUND(F121*G121,2))</f>
        <v/>
      </c>
      <c r="J121" s="61" t="n"/>
      <c r="K121" s="64">
        <f>IF(A121="","",DATE(YEAR(A121),MONTH(A121),1))</f>
        <v/>
      </c>
      <c r="L121" s="61" t="n"/>
      <c r="M121" s="65" t="n"/>
      <c r="N121" s="61" t="n"/>
    </row>
    <row r="122">
      <c r="A122" s="60" t="n"/>
      <c r="B122" s="61" t="n"/>
      <c r="C122" s="61" t="n"/>
      <c r="D122" s="61" t="n"/>
      <c r="E122" s="61" t="n"/>
      <c r="F122" s="62" t="n"/>
      <c r="G122" s="63">
        <f>IF(A122="","",Settings!$B$4)</f>
        <v/>
      </c>
      <c r="H122" s="62">
        <f>IF(F122="","",IF(J122="Yes",ROUND(F122*G122,2),0))</f>
        <v/>
      </c>
      <c r="I122" s="62">
        <f>IF(F122="","",F122+ROUND(F122*G122,2))</f>
        <v/>
      </c>
      <c r="J122" s="61" t="n"/>
      <c r="K122" s="64">
        <f>IF(A122="","",DATE(YEAR(A122),MONTH(A122),1))</f>
        <v/>
      </c>
      <c r="L122" s="61" t="n"/>
      <c r="M122" s="65" t="n"/>
      <c r="N122" s="61" t="n"/>
    </row>
    <row r="123">
      <c r="A123" s="60" t="n"/>
      <c r="B123" s="61" t="n"/>
      <c r="C123" s="61" t="n"/>
      <c r="D123" s="61" t="n"/>
      <c r="E123" s="61" t="n"/>
      <c r="F123" s="62" t="n"/>
      <c r="G123" s="63">
        <f>IF(A123="","",Settings!$B$4)</f>
        <v/>
      </c>
      <c r="H123" s="62">
        <f>IF(F123="","",IF(J123="Yes",ROUND(F123*G123,2),0))</f>
        <v/>
      </c>
      <c r="I123" s="62">
        <f>IF(F123="","",F123+ROUND(F123*G123,2))</f>
        <v/>
      </c>
      <c r="J123" s="61" t="n"/>
      <c r="K123" s="64">
        <f>IF(A123="","",DATE(YEAR(A123),MONTH(A123),1))</f>
        <v/>
      </c>
      <c r="L123" s="61" t="n"/>
      <c r="M123" s="65" t="n"/>
      <c r="N123" s="61" t="n"/>
    </row>
    <row r="124">
      <c r="A124" s="60" t="n"/>
      <c r="B124" s="61" t="n"/>
      <c r="C124" s="61" t="n"/>
      <c r="D124" s="61" t="n"/>
      <c r="E124" s="61" t="n"/>
      <c r="F124" s="62" t="n"/>
      <c r="G124" s="63">
        <f>IF(A124="","",Settings!$B$4)</f>
        <v/>
      </c>
      <c r="H124" s="62">
        <f>IF(F124="","",IF(J124="Yes",ROUND(F124*G124,2),0))</f>
        <v/>
      </c>
      <c r="I124" s="62">
        <f>IF(F124="","",F124+ROUND(F124*G124,2))</f>
        <v/>
      </c>
      <c r="J124" s="61" t="n"/>
      <c r="K124" s="64">
        <f>IF(A124="","",DATE(YEAR(A124),MONTH(A124),1))</f>
        <v/>
      </c>
      <c r="L124" s="61" t="n"/>
      <c r="M124" s="65" t="n"/>
      <c r="N124" s="61" t="n"/>
    </row>
    <row r="125">
      <c r="A125" s="60" t="n"/>
      <c r="B125" s="61" t="n"/>
      <c r="C125" s="61" t="n"/>
      <c r="D125" s="61" t="n"/>
      <c r="E125" s="61" t="n"/>
      <c r="F125" s="62" t="n"/>
      <c r="G125" s="63">
        <f>IF(A125="","",Settings!$B$4)</f>
        <v/>
      </c>
      <c r="H125" s="62">
        <f>IF(F125="","",IF(J125="Yes",ROUND(F125*G125,2),0))</f>
        <v/>
      </c>
      <c r="I125" s="62">
        <f>IF(F125="","",F125+ROUND(F125*G125,2))</f>
        <v/>
      </c>
      <c r="J125" s="61" t="n"/>
      <c r="K125" s="64">
        <f>IF(A125="","",DATE(YEAR(A125),MONTH(A125),1))</f>
        <v/>
      </c>
      <c r="L125" s="61" t="n"/>
      <c r="M125" s="65" t="n"/>
      <c r="N125" s="61" t="n"/>
    </row>
    <row r="126">
      <c r="A126" s="60" t="n"/>
      <c r="B126" s="61" t="n"/>
      <c r="C126" s="61" t="n"/>
      <c r="D126" s="61" t="n"/>
      <c r="E126" s="61" t="n"/>
      <c r="F126" s="62" t="n"/>
      <c r="G126" s="63">
        <f>IF(A126="","",Settings!$B$4)</f>
        <v/>
      </c>
      <c r="H126" s="62">
        <f>IF(F126="","",IF(J126="Yes",ROUND(F126*G126,2),0))</f>
        <v/>
      </c>
      <c r="I126" s="62">
        <f>IF(F126="","",F126+ROUND(F126*G126,2))</f>
        <v/>
      </c>
      <c r="J126" s="61" t="n"/>
      <c r="K126" s="64">
        <f>IF(A126="","",DATE(YEAR(A126),MONTH(A126),1))</f>
        <v/>
      </c>
      <c r="L126" s="61" t="n"/>
      <c r="M126" s="65" t="n"/>
      <c r="N126" s="61" t="n"/>
    </row>
    <row r="127">
      <c r="A127" s="60" t="n"/>
      <c r="B127" s="61" t="n"/>
      <c r="C127" s="61" t="n"/>
      <c r="D127" s="61" t="n"/>
      <c r="E127" s="61" t="n"/>
      <c r="F127" s="62" t="n"/>
      <c r="G127" s="63">
        <f>IF(A127="","",Settings!$B$4)</f>
        <v/>
      </c>
      <c r="H127" s="62">
        <f>IF(F127="","",IF(J127="Yes",ROUND(F127*G127,2),0))</f>
        <v/>
      </c>
      <c r="I127" s="62">
        <f>IF(F127="","",F127+ROUND(F127*G127,2))</f>
        <v/>
      </c>
      <c r="J127" s="61" t="n"/>
      <c r="K127" s="64">
        <f>IF(A127="","",DATE(YEAR(A127),MONTH(A127),1))</f>
        <v/>
      </c>
      <c r="L127" s="61" t="n"/>
      <c r="M127" s="65" t="n"/>
      <c r="N127" s="61" t="n"/>
    </row>
    <row r="128">
      <c r="A128" s="60" t="n"/>
      <c r="B128" s="61" t="n"/>
      <c r="C128" s="61" t="n"/>
      <c r="D128" s="61" t="n"/>
      <c r="E128" s="61" t="n"/>
      <c r="F128" s="62" t="n"/>
      <c r="G128" s="63">
        <f>IF(A128="","",Settings!$B$4)</f>
        <v/>
      </c>
      <c r="H128" s="62">
        <f>IF(F128="","",IF(J128="Yes",ROUND(F128*G128,2),0))</f>
        <v/>
      </c>
      <c r="I128" s="62">
        <f>IF(F128="","",F128+ROUND(F128*G128,2))</f>
        <v/>
      </c>
      <c r="J128" s="61" t="n"/>
      <c r="K128" s="64">
        <f>IF(A128="","",DATE(YEAR(A128),MONTH(A128),1))</f>
        <v/>
      </c>
      <c r="L128" s="61" t="n"/>
      <c r="M128" s="65" t="n"/>
      <c r="N128" s="61" t="n"/>
    </row>
    <row r="129">
      <c r="A129" s="60" t="n"/>
      <c r="B129" s="61" t="n"/>
      <c r="C129" s="61" t="n"/>
      <c r="D129" s="61" t="n"/>
      <c r="E129" s="61" t="n"/>
      <c r="F129" s="62" t="n"/>
      <c r="G129" s="63">
        <f>IF(A129="","",Settings!$B$4)</f>
        <v/>
      </c>
      <c r="H129" s="62">
        <f>IF(F129="","",IF(J129="Yes",ROUND(F129*G129,2),0))</f>
        <v/>
      </c>
      <c r="I129" s="62">
        <f>IF(F129="","",F129+ROUND(F129*G129,2))</f>
        <v/>
      </c>
      <c r="J129" s="61" t="n"/>
      <c r="K129" s="64">
        <f>IF(A129="","",DATE(YEAR(A129),MONTH(A129),1))</f>
        <v/>
      </c>
      <c r="L129" s="61" t="n"/>
      <c r="M129" s="65" t="n"/>
      <c r="N129" s="61" t="n"/>
    </row>
    <row r="130">
      <c r="A130" s="60" t="n"/>
      <c r="B130" s="61" t="n"/>
      <c r="C130" s="61" t="n"/>
      <c r="D130" s="61" t="n"/>
      <c r="E130" s="61" t="n"/>
      <c r="F130" s="62" t="n"/>
      <c r="G130" s="63">
        <f>IF(A130="","",Settings!$B$4)</f>
        <v/>
      </c>
      <c r="H130" s="62">
        <f>IF(F130="","",IF(J130="Yes",ROUND(F130*G130,2),0))</f>
        <v/>
      </c>
      <c r="I130" s="62">
        <f>IF(F130="","",F130+ROUND(F130*G130,2))</f>
        <v/>
      </c>
      <c r="J130" s="61" t="n"/>
      <c r="K130" s="64">
        <f>IF(A130="","",DATE(YEAR(A130),MONTH(A130),1))</f>
        <v/>
      </c>
      <c r="L130" s="61" t="n"/>
      <c r="M130" s="65" t="n"/>
      <c r="N130" s="61" t="n"/>
    </row>
    <row r="131">
      <c r="A131" s="60" t="n"/>
      <c r="B131" s="61" t="n"/>
      <c r="C131" s="61" t="n"/>
      <c r="D131" s="61" t="n"/>
      <c r="E131" s="61" t="n"/>
      <c r="F131" s="62" t="n"/>
      <c r="G131" s="63">
        <f>IF(A131="","",Settings!$B$4)</f>
        <v/>
      </c>
      <c r="H131" s="62">
        <f>IF(F131="","",IF(J131="Yes",ROUND(F131*G131,2),0))</f>
        <v/>
      </c>
      <c r="I131" s="62">
        <f>IF(F131="","",F131+ROUND(F131*G131,2))</f>
        <v/>
      </c>
      <c r="J131" s="61" t="n"/>
      <c r="K131" s="64">
        <f>IF(A131="","",DATE(YEAR(A131),MONTH(A131),1))</f>
        <v/>
      </c>
      <c r="L131" s="61" t="n"/>
      <c r="M131" s="65" t="n"/>
      <c r="N131" s="61" t="n"/>
    </row>
    <row r="132">
      <c r="A132" s="60" t="n"/>
      <c r="B132" s="61" t="n"/>
      <c r="C132" s="61" t="n"/>
      <c r="D132" s="61" t="n"/>
      <c r="E132" s="61" t="n"/>
      <c r="F132" s="62" t="n"/>
      <c r="G132" s="63">
        <f>IF(A132="","",Settings!$B$4)</f>
        <v/>
      </c>
      <c r="H132" s="62">
        <f>IF(F132="","",IF(J132="Yes",ROUND(F132*G132,2),0))</f>
        <v/>
      </c>
      <c r="I132" s="62">
        <f>IF(F132="","",F132+ROUND(F132*G132,2))</f>
        <v/>
      </c>
      <c r="J132" s="61" t="n"/>
      <c r="K132" s="64">
        <f>IF(A132="","",DATE(YEAR(A132),MONTH(A132),1))</f>
        <v/>
      </c>
      <c r="L132" s="61" t="n"/>
      <c r="M132" s="65" t="n"/>
      <c r="N132" s="61" t="n"/>
    </row>
    <row r="133">
      <c r="A133" s="60" t="n"/>
      <c r="B133" s="61" t="n"/>
      <c r="C133" s="61" t="n"/>
      <c r="D133" s="61" t="n"/>
      <c r="E133" s="61" t="n"/>
      <c r="F133" s="62" t="n"/>
      <c r="G133" s="63">
        <f>IF(A133="","",Settings!$B$4)</f>
        <v/>
      </c>
      <c r="H133" s="62">
        <f>IF(F133="","",IF(J133="Yes",ROUND(F133*G133,2),0))</f>
        <v/>
      </c>
      <c r="I133" s="62">
        <f>IF(F133="","",F133+ROUND(F133*G133,2))</f>
        <v/>
      </c>
      <c r="J133" s="61" t="n"/>
      <c r="K133" s="64">
        <f>IF(A133="","",DATE(YEAR(A133),MONTH(A133),1))</f>
        <v/>
      </c>
      <c r="L133" s="61" t="n"/>
      <c r="M133" s="65" t="n"/>
      <c r="N133" s="61" t="n"/>
    </row>
    <row r="134">
      <c r="A134" s="60" t="n"/>
      <c r="B134" s="61" t="n"/>
      <c r="C134" s="61" t="n"/>
      <c r="D134" s="61" t="n"/>
      <c r="E134" s="61" t="n"/>
      <c r="F134" s="62" t="n"/>
      <c r="G134" s="63">
        <f>IF(A134="","",Settings!$B$4)</f>
        <v/>
      </c>
      <c r="H134" s="62">
        <f>IF(F134="","",IF(J134="Yes",ROUND(F134*G134,2),0))</f>
        <v/>
      </c>
      <c r="I134" s="62">
        <f>IF(F134="","",F134+ROUND(F134*G134,2))</f>
        <v/>
      </c>
      <c r="J134" s="61" t="n"/>
      <c r="K134" s="64">
        <f>IF(A134="","",DATE(YEAR(A134),MONTH(A134),1))</f>
        <v/>
      </c>
      <c r="L134" s="61" t="n"/>
      <c r="M134" s="65" t="n"/>
      <c r="N134" s="61" t="n"/>
    </row>
    <row r="135">
      <c r="A135" s="60" t="n"/>
      <c r="B135" s="61" t="n"/>
      <c r="C135" s="61" t="n"/>
      <c r="D135" s="61" t="n"/>
      <c r="E135" s="61" t="n"/>
      <c r="F135" s="62" t="n"/>
      <c r="G135" s="63">
        <f>IF(A135="","",Settings!$B$4)</f>
        <v/>
      </c>
      <c r="H135" s="62">
        <f>IF(F135="","",IF(J135="Yes",ROUND(F135*G135,2),0))</f>
        <v/>
      </c>
      <c r="I135" s="62">
        <f>IF(F135="","",F135+ROUND(F135*G135,2))</f>
        <v/>
      </c>
      <c r="J135" s="61" t="n"/>
      <c r="K135" s="64">
        <f>IF(A135="","",DATE(YEAR(A135),MONTH(A135),1))</f>
        <v/>
      </c>
      <c r="L135" s="61" t="n"/>
      <c r="M135" s="65" t="n"/>
      <c r="N135" s="61" t="n"/>
    </row>
    <row r="136">
      <c r="A136" s="60" t="n"/>
      <c r="B136" s="61" t="n"/>
      <c r="C136" s="61" t="n"/>
      <c r="D136" s="61" t="n"/>
      <c r="E136" s="61" t="n"/>
      <c r="F136" s="62" t="n"/>
      <c r="G136" s="63">
        <f>IF(A136="","",Settings!$B$4)</f>
        <v/>
      </c>
      <c r="H136" s="62">
        <f>IF(F136="","",IF(J136="Yes",ROUND(F136*G136,2),0))</f>
        <v/>
      </c>
      <c r="I136" s="62">
        <f>IF(F136="","",F136+ROUND(F136*G136,2))</f>
        <v/>
      </c>
      <c r="J136" s="61" t="n"/>
      <c r="K136" s="64">
        <f>IF(A136="","",DATE(YEAR(A136),MONTH(A136),1))</f>
        <v/>
      </c>
      <c r="L136" s="61" t="n"/>
      <c r="M136" s="65" t="n"/>
      <c r="N136" s="61" t="n"/>
    </row>
    <row r="137">
      <c r="A137" s="60" t="n"/>
      <c r="B137" s="61" t="n"/>
      <c r="C137" s="61" t="n"/>
      <c r="D137" s="61" t="n"/>
      <c r="E137" s="61" t="n"/>
      <c r="F137" s="62" t="n"/>
      <c r="G137" s="63">
        <f>IF(A137="","",Settings!$B$4)</f>
        <v/>
      </c>
      <c r="H137" s="62">
        <f>IF(F137="","",IF(J137="Yes",ROUND(F137*G137,2),0))</f>
        <v/>
      </c>
      <c r="I137" s="62">
        <f>IF(F137="","",F137+ROUND(F137*G137,2))</f>
        <v/>
      </c>
      <c r="J137" s="61" t="n"/>
      <c r="K137" s="64">
        <f>IF(A137="","",DATE(YEAR(A137),MONTH(A137),1))</f>
        <v/>
      </c>
      <c r="L137" s="61" t="n"/>
      <c r="M137" s="65" t="n"/>
      <c r="N137" s="61" t="n"/>
    </row>
    <row r="138">
      <c r="A138" s="60" t="n"/>
      <c r="B138" s="61" t="n"/>
      <c r="C138" s="61" t="n"/>
      <c r="D138" s="61" t="n"/>
      <c r="E138" s="61" t="n"/>
      <c r="F138" s="62" t="n"/>
      <c r="G138" s="63">
        <f>IF(A138="","",Settings!$B$4)</f>
        <v/>
      </c>
      <c r="H138" s="62">
        <f>IF(F138="","",IF(J138="Yes",ROUND(F138*G138,2),0))</f>
        <v/>
      </c>
      <c r="I138" s="62">
        <f>IF(F138="","",F138+ROUND(F138*G138,2))</f>
        <v/>
      </c>
      <c r="J138" s="61" t="n"/>
      <c r="K138" s="64">
        <f>IF(A138="","",DATE(YEAR(A138),MONTH(A138),1))</f>
        <v/>
      </c>
      <c r="L138" s="61" t="n"/>
      <c r="M138" s="65" t="n"/>
      <c r="N138" s="61" t="n"/>
    </row>
    <row r="139">
      <c r="A139" s="60" t="n"/>
      <c r="B139" s="61" t="n"/>
      <c r="C139" s="61" t="n"/>
      <c r="D139" s="61" t="n"/>
      <c r="E139" s="61" t="n"/>
      <c r="F139" s="62" t="n"/>
      <c r="G139" s="63">
        <f>IF(A139="","",Settings!$B$4)</f>
        <v/>
      </c>
      <c r="H139" s="62">
        <f>IF(F139="","",IF(J139="Yes",ROUND(F139*G139,2),0))</f>
        <v/>
      </c>
      <c r="I139" s="62">
        <f>IF(F139="","",F139+ROUND(F139*G139,2))</f>
        <v/>
      </c>
      <c r="J139" s="61" t="n"/>
      <c r="K139" s="64">
        <f>IF(A139="","",DATE(YEAR(A139),MONTH(A139),1))</f>
        <v/>
      </c>
      <c r="L139" s="61" t="n"/>
      <c r="M139" s="65" t="n"/>
      <c r="N139" s="61" t="n"/>
    </row>
    <row r="141">
      <c r="A141" s="58" t="inlineStr">
        <is>
          <t>July 2026 / เดือน Jul</t>
        </is>
      </c>
    </row>
    <row r="142">
      <c r="A142" s="59" t="inlineStr">
        <is>
          <t>วันที่</t>
        </is>
      </c>
      <c r="B142" s="59" t="inlineStr">
        <is>
          <t>เลขที่บิล/ใบกำกับ</t>
        </is>
      </c>
      <c r="C142" s="59" t="inlineStr">
        <is>
          <t>ผู้ขาย</t>
        </is>
      </c>
      <c r="D142" s="59" t="inlineStr">
        <is>
          <t>รายละเอียด</t>
        </is>
      </c>
      <c r="E142" s="59" t="inlineStr">
        <is>
          <t>หมวด</t>
        </is>
      </c>
      <c r="F142" s="59" t="inlineStr">
        <is>
          <t>ยอดก่อน VAT</t>
        </is>
      </c>
      <c r="G142" s="59" t="inlineStr">
        <is>
          <t>อัตรา VAT</t>
        </is>
      </c>
      <c r="H142" s="59" t="inlineStr">
        <is>
          <t>ภาษีซื้อ</t>
        </is>
      </c>
      <c r="I142" s="59" t="inlineStr">
        <is>
          <t>ยอดรวม</t>
        </is>
      </c>
      <c r="J142" s="59" t="inlineStr">
        <is>
          <t>ขอคืน VAT ได้?</t>
        </is>
      </c>
      <c r="K142" s="59" t="inlineStr">
        <is>
          <t>เดือน</t>
        </is>
      </c>
      <c r="L142" s="59" t="inlineStr">
        <is>
          <t>ไฟล์บิล</t>
        </is>
      </c>
      <c r="M142" s="59" t="inlineStr">
        <is>
          <t>OCR Confidence</t>
        </is>
      </c>
      <c r="N142" s="59" t="inlineStr">
        <is>
          <t>หมายเหตุ</t>
        </is>
      </c>
    </row>
    <row r="143">
      <c r="A143" s="60" t="n"/>
      <c r="B143" s="61" t="n"/>
      <c r="C143" s="61" t="n"/>
      <c r="D143" s="61" t="n"/>
      <c r="E143" s="61" t="n"/>
      <c r="F143" s="62" t="n"/>
      <c r="G143" s="63">
        <f>IF(A143="","",Settings!$B$4)</f>
        <v/>
      </c>
      <c r="H143" s="62">
        <f>IF(F143="","",IF(J143="Yes",ROUND(F143*G143,2),0))</f>
        <v/>
      </c>
      <c r="I143" s="62">
        <f>IF(F143="","",F143+ROUND(F143*G143,2))</f>
        <v/>
      </c>
      <c r="J143" s="61" t="n"/>
      <c r="K143" s="64">
        <f>IF(A143="","",DATE(YEAR(A143),MONTH(A143),1))</f>
        <v/>
      </c>
      <c r="L143" s="61" t="n"/>
      <c r="M143" s="65" t="n"/>
      <c r="N143" s="61" t="n"/>
    </row>
    <row r="144">
      <c r="A144" s="60" t="n"/>
      <c r="B144" s="61" t="n"/>
      <c r="C144" s="61" t="n"/>
      <c r="D144" s="61" t="n"/>
      <c r="E144" s="61" t="n"/>
      <c r="F144" s="62" t="n"/>
      <c r="G144" s="63">
        <f>IF(A144="","",Settings!$B$4)</f>
        <v/>
      </c>
      <c r="H144" s="62">
        <f>IF(F144="","",IF(J144="Yes",ROUND(F144*G144,2),0))</f>
        <v/>
      </c>
      <c r="I144" s="62">
        <f>IF(F144="","",F144+ROUND(F144*G144,2))</f>
        <v/>
      </c>
      <c r="J144" s="61" t="n"/>
      <c r="K144" s="64">
        <f>IF(A144="","",DATE(YEAR(A144),MONTH(A144),1))</f>
        <v/>
      </c>
      <c r="L144" s="61" t="n"/>
      <c r="M144" s="65" t="n"/>
      <c r="N144" s="61" t="n"/>
    </row>
    <row r="145">
      <c r="A145" s="60" t="n"/>
      <c r="B145" s="61" t="n"/>
      <c r="C145" s="61" t="n"/>
      <c r="D145" s="61" t="n"/>
      <c r="E145" s="61" t="n"/>
      <c r="F145" s="62" t="n"/>
      <c r="G145" s="63">
        <f>IF(A145="","",Settings!$B$4)</f>
        <v/>
      </c>
      <c r="H145" s="62">
        <f>IF(F145="","",IF(J145="Yes",ROUND(F145*G145,2),0))</f>
        <v/>
      </c>
      <c r="I145" s="62">
        <f>IF(F145="","",F145+ROUND(F145*G145,2))</f>
        <v/>
      </c>
      <c r="J145" s="61" t="n"/>
      <c r="K145" s="64">
        <f>IF(A145="","",DATE(YEAR(A145),MONTH(A145),1))</f>
        <v/>
      </c>
      <c r="L145" s="61" t="n"/>
      <c r="M145" s="65" t="n"/>
      <c r="N145" s="61" t="n"/>
    </row>
    <row r="146">
      <c r="A146" s="60" t="n"/>
      <c r="B146" s="61" t="n"/>
      <c r="C146" s="61" t="n"/>
      <c r="D146" s="61" t="n"/>
      <c r="E146" s="61" t="n"/>
      <c r="F146" s="62" t="n"/>
      <c r="G146" s="63">
        <f>IF(A146="","",Settings!$B$4)</f>
        <v/>
      </c>
      <c r="H146" s="62">
        <f>IF(F146="","",IF(J146="Yes",ROUND(F146*G146,2),0))</f>
        <v/>
      </c>
      <c r="I146" s="62">
        <f>IF(F146="","",F146+ROUND(F146*G146,2))</f>
        <v/>
      </c>
      <c r="J146" s="61" t="n"/>
      <c r="K146" s="64">
        <f>IF(A146="","",DATE(YEAR(A146),MONTH(A146),1))</f>
        <v/>
      </c>
      <c r="L146" s="61" t="n"/>
      <c r="M146" s="65" t="n"/>
      <c r="N146" s="61" t="n"/>
    </row>
    <row r="147">
      <c r="A147" s="60" t="n"/>
      <c r="B147" s="61" t="n"/>
      <c r="C147" s="61" t="n"/>
      <c r="D147" s="61" t="n"/>
      <c r="E147" s="61" t="n"/>
      <c r="F147" s="62" t="n"/>
      <c r="G147" s="63">
        <f>IF(A147="","",Settings!$B$4)</f>
        <v/>
      </c>
      <c r="H147" s="62">
        <f>IF(F147="","",IF(J147="Yes",ROUND(F147*G147,2),0))</f>
        <v/>
      </c>
      <c r="I147" s="62">
        <f>IF(F147="","",F147+ROUND(F147*G147,2))</f>
        <v/>
      </c>
      <c r="J147" s="61" t="n"/>
      <c r="K147" s="64">
        <f>IF(A147="","",DATE(YEAR(A147),MONTH(A147),1))</f>
        <v/>
      </c>
      <c r="L147" s="61" t="n"/>
      <c r="M147" s="65" t="n"/>
      <c r="N147" s="61" t="n"/>
    </row>
    <row r="148">
      <c r="A148" s="60" t="n"/>
      <c r="B148" s="61" t="n"/>
      <c r="C148" s="61" t="n"/>
      <c r="D148" s="61" t="n"/>
      <c r="E148" s="61" t="n"/>
      <c r="F148" s="62" t="n"/>
      <c r="G148" s="63">
        <f>IF(A148="","",Settings!$B$4)</f>
        <v/>
      </c>
      <c r="H148" s="62">
        <f>IF(F148="","",IF(J148="Yes",ROUND(F148*G148,2),0))</f>
        <v/>
      </c>
      <c r="I148" s="62">
        <f>IF(F148="","",F148+ROUND(F148*G148,2))</f>
        <v/>
      </c>
      <c r="J148" s="61" t="n"/>
      <c r="K148" s="64">
        <f>IF(A148="","",DATE(YEAR(A148),MONTH(A148),1))</f>
        <v/>
      </c>
      <c r="L148" s="61" t="n"/>
      <c r="M148" s="65" t="n"/>
      <c r="N148" s="61" t="n"/>
    </row>
    <row r="149">
      <c r="A149" s="60" t="n"/>
      <c r="B149" s="61" t="n"/>
      <c r="C149" s="61" t="n"/>
      <c r="D149" s="61" t="n"/>
      <c r="E149" s="61" t="n"/>
      <c r="F149" s="62" t="n"/>
      <c r="G149" s="63">
        <f>IF(A149="","",Settings!$B$4)</f>
        <v/>
      </c>
      <c r="H149" s="62">
        <f>IF(F149="","",IF(J149="Yes",ROUND(F149*G149,2),0))</f>
        <v/>
      </c>
      <c r="I149" s="62">
        <f>IF(F149="","",F149+ROUND(F149*G149,2))</f>
        <v/>
      </c>
      <c r="J149" s="61" t="n"/>
      <c r="K149" s="64">
        <f>IF(A149="","",DATE(YEAR(A149),MONTH(A149),1))</f>
        <v/>
      </c>
      <c r="L149" s="61" t="n"/>
      <c r="M149" s="65" t="n"/>
      <c r="N149" s="61" t="n"/>
    </row>
    <row r="150">
      <c r="A150" s="60" t="n"/>
      <c r="B150" s="61" t="n"/>
      <c r="C150" s="61" t="n"/>
      <c r="D150" s="61" t="n"/>
      <c r="E150" s="61" t="n"/>
      <c r="F150" s="62" t="n"/>
      <c r="G150" s="63">
        <f>IF(A150="","",Settings!$B$4)</f>
        <v/>
      </c>
      <c r="H150" s="62">
        <f>IF(F150="","",IF(J150="Yes",ROUND(F150*G150,2),0))</f>
        <v/>
      </c>
      <c r="I150" s="62">
        <f>IF(F150="","",F150+ROUND(F150*G150,2))</f>
        <v/>
      </c>
      <c r="J150" s="61" t="n"/>
      <c r="K150" s="64">
        <f>IF(A150="","",DATE(YEAR(A150),MONTH(A150),1))</f>
        <v/>
      </c>
      <c r="L150" s="61" t="n"/>
      <c r="M150" s="65" t="n"/>
      <c r="N150" s="61" t="n"/>
    </row>
    <row r="151">
      <c r="A151" s="60" t="n"/>
      <c r="B151" s="61" t="n"/>
      <c r="C151" s="61" t="n"/>
      <c r="D151" s="61" t="n"/>
      <c r="E151" s="61" t="n"/>
      <c r="F151" s="62" t="n"/>
      <c r="G151" s="63">
        <f>IF(A151="","",Settings!$B$4)</f>
        <v/>
      </c>
      <c r="H151" s="62">
        <f>IF(F151="","",IF(J151="Yes",ROUND(F151*G151,2),0))</f>
        <v/>
      </c>
      <c r="I151" s="62">
        <f>IF(F151="","",F151+ROUND(F151*G151,2))</f>
        <v/>
      </c>
      <c r="J151" s="61" t="n"/>
      <c r="K151" s="64">
        <f>IF(A151="","",DATE(YEAR(A151),MONTH(A151),1))</f>
        <v/>
      </c>
      <c r="L151" s="61" t="n"/>
      <c r="M151" s="65" t="n"/>
      <c r="N151" s="61" t="n"/>
    </row>
    <row r="152">
      <c r="A152" s="60" t="n"/>
      <c r="B152" s="61" t="n"/>
      <c r="C152" s="61" t="n"/>
      <c r="D152" s="61" t="n"/>
      <c r="E152" s="61" t="n"/>
      <c r="F152" s="62" t="n"/>
      <c r="G152" s="63">
        <f>IF(A152="","",Settings!$B$4)</f>
        <v/>
      </c>
      <c r="H152" s="62">
        <f>IF(F152="","",IF(J152="Yes",ROUND(F152*G152,2),0))</f>
        <v/>
      </c>
      <c r="I152" s="62">
        <f>IF(F152="","",F152+ROUND(F152*G152,2))</f>
        <v/>
      </c>
      <c r="J152" s="61" t="n"/>
      <c r="K152" s="64">
        <f>IF(A152="","",DATE(YEAR(A152),MONTH(A152),1))</f>
        <v/>
      </c>
      <c r="L152" s="61" t="n"/>
      <c r="M152" s="65" t="n"/>
      <c r="N152" s="61" t="n"/>
    </row>
    <row r="153">
      <c r="A153" s="60" t="n"/>
      <c r="B153" s="61" t="n"/>
      <c r="C153" s="61" t="n"/>
      <c r="D153" s="61" t="n"/>
      <c r="E153" s="61" t="n"/>
      <c r="F153" s="62" t="n"/>
      <c r="G153" s="63">
        <f>IF(A153="","",Settings!$B$4)</f>
        <v/>
      </c>
      <c r="H153" s="62">
        <f>IF(F153="","",IF(J153="Yes",ROUND(F153*G153,2),0))</f>
        <v/>
      </c>
      <c r="I153" s="62">
        <f>IF(F153="","",F153+ROUND(F153*G153,2))</f>
        <v/>
      </c>
      <c r="J153" s="61" t="n"/>
      <c r="K153" s="64">
        <f>IF(A153="","",DATE(YEAR(A153),MONTH(A153),1))</f>
        <v/>
      </c>
      <c r="L153" s="61" t="n"/>
      <c r="M153" s="65" t="n"/>
      <c r="N153" s="61" t="n"/>
    </row>
    <row r="154">
      <c r="A154" s="60" t="n"/>
      <c r="B154" s="61" t="n"/>
      <c r="C154" s="61" t="n"/>
      <c r="D154" s="61" t="n"/>
      <c r="E154" s="61" t="n"/>
      <c r="F154" s="62" t="n"/>
      <c r="G154" s="63">
        <f>IF(A154="","",Settings!$B$4)</f>
        <v/>
      </c>
      <c r="H154" s="62">
        <f>IF(F154="","",IF(J154="Yes",ROUND(F154*G154,2),0))</f>
        <v/>
      </c>
      <c r="I154" s="62">
        <f>IF(F154="","",F154+ROUND(F154*G154,2))</f>
        <v/>
      </c>
      <c r="J154" s="61" t="n"/>
      <c r="K154" s="64">
        <f>IF(A154="","",DATE(YEAR(A154),MONTH(A154),1))</f>
        <v/>
      </c>
      <c r="L154" s="61" t="n"/>
      <c r="M154" s="65" t="n"/>
      <c r="N154" s="61" t="n"/>
    </row>
    <row r="155">
      <c r="A155" s="60" t="n"/>
      <c r="B155" s="61" t="n"/>
      <c r="C155" s="61" t="n"/>
      <c r="D155" s="61" t="n"/>
      <c r="E155" s="61" t="n"/>
      <c r="F155" s="62" t="n"/>
      <c r="G155" s="63">
        <f>IF(A155="","",Settings!$B$4)</f>
        <v/>
      </c>
      <c r="H155" s="62">
        <f>IF(F155="","",IF(J155="Yes",ROUND(F155*G155,2),0))</f>
        <v/>
      </c>
      <c r="I155" s="62">
        <f>IF(F155="","",F155+ROUND(F155*G155,2))</f>
        <v/>
      </c>
      <c r="J155" s="61" t="n"/>
      <c r="K155" s="64">
        <f>IF(A155="","",DATE(YEAR(A155),MONTH(A155),1))</f>
        <v/>
      </c>
      <c r="L155" s="61" t="n"/>
      <c r="M155" s="65" t="n"/>
      <c r="N155" s="61" t="n"/>
    </row>
    <row r="156">
      <c r="A156" s="60" t="n"/>
      <c r="B156" s="61" t="n"/>
      <c r="C156" s="61" t="n"/>
      <c r="D156" s="61" t="n"/>
      <c r="E156" s="61" t="n"/>
      <c r="F156" s="62" t="n"/>
      <c r="G156" s="63">
        <f>IF(A156="","",Settings!$B$4)</f>
        <v/>
      </c>
      <c r="H156" s="62">
        <f>IF(F156="","",IF(J156="Yes",ROUND(F156*G156,2),0))</f>
        <v/>
      </c>
      <c r="I156" s="62">
        <f>IF(F156="","",F156+ROUND(F156*G156,2))</f>
        <v/>
      </c>
      <c r="J156" s="61" t="n"/>
      <c r="K156" s="64">
        <f>IF(A156="","",DATE(YEAR(A156),MONTH(A156),1))</f>
        <v/>
      </c>
      <c r="L156" s="61" t="n"/>
      <c r="M156" s="65" t="n"/>
      <c r="N156" s="61" t="n"/>
    </row>
    <row r="157">
      <c r="A157" s="60" t="n"/>
      <c r="B157" s="61" t="n"/>
      <c r="C157" s="61" t="n"/>
      <c r="D157" s="61" t="n"/>
      <c r="E157" s="61" t="n"/>
      <c r="F157" s="62" t="n"/>
      <c r="G157" s="63">
        <f>IF(A157="","",Settings!$B$4)</f>
        <v/>
      </c>
      <c r="H157" s="62">
        <f>IF(F157="","",IF(J157="Yes",ROUND(F157*G157,2),0))</f>
        <v/>
      </c>
      <c r="I157" s="62">
        <f>IF(F157="","",F157+ROUND(F157*G157,2))</f>
        <v/>
      </c>
      <c r="J157" s="61" t="n"/>
      <c r="K157" s="64">
        <f>IF(A157="","",DATE(YEAR(A157),MONTH(A157),1))</f>
        <v/>
      </c>
      <c r="L157" s="61" t="n"/>
      <c r="M157" s="65" t="n"/>
      <c r="N157" s="61" t="n"/>
    </row>
    <row r="158">
      <c r="A158" s="60" t="n"/>
      <c r="B158" s="61" t="n"/>
      <c r="C158" s="61" t="n"/>
      <c r="D158" s="61" t="n"/>
      <c r="E158" s="61" t="n"/>
      <c r="F158" s="62" t="n"/>
      <c r="G158" s="63">
        <f>IF(A158="","",Settings!$B$4)</f>
        <v/>
      </c>
      <c r="H158" s="62">
        <f>IF(F158="","",IF(J158="Yes",ROUND(F158*G158,2),0))</f>
        <v/>
      </c>
      <c r="I158" s="62">
        <f>IF(F158="","",F158+ROUND(F158*G158,2))</f>
        <v/>
      </c>
      <c r="J158" s="61" t="n"/>
      <c r="K158" s="64">
        <f>IF(A158="","",DATE(YEAR(A158),MONTH(A158),1))</f>
        <v/>
      </c>
      <c r="L158" s="61" t="n"/>
      <c r="M158" s="65" t="n"/>
      <c r="N158" s="61" t="n"/>
    </row>
    <row r="159">
      <c r="A159" s="60" t="n"/>
      <c r="B159" s="61" t="n"/>
      <c r="C159" s="61" t="n"/>
      <c r="D159" s="61" t="n"/>
      <c r="E159" s="61" t="n"/>
      <c r="F159" s="62" t="n"/>
      <c r="G159" s="63">
        <f>IF(A159="","",Settings!$B$4)</f>
        <v/>
      </c>
      <c r="H159" s="62">
        <f>IF(F159="","",IF(J159="Yes",ROUND(F159*G159,2),0))</f>
        <v/>
      </c>
      <c r="I159" s="62">
        <f>IF(F159="","",F159+ROUND(F159*G159,2))</f>
        <v/>
      </c>
      <c r="J159" s="61" t="n"/>
      <c r="K159" s="64">
        <f>IF(A159="","",DATE(YEAR(A159),MONTH(A159),1))</f>
        <v/>
      </c>
      <c r="L159" s="61" t="n"/>
      <c r="M159" s="65" t="n"/>
      <c r="N159" s="61" t="n"/>
    </row>
    <row r="160">
      <c r="A160" s="60" t="n"/>
      <c r="B160" s="61" t="n"/>
      <c r="C160" s="61" t="n"/>
      <c r="D160" s="61" t="n"/>
      <c r="E160" s="61" t="n"/>
      <c r="F160" s="62" t="n"/>
      <c r="G160" s="63">
        <f>IF(A160="","",Settings!$B$4)</f>
        <v/>
      </c>
      <c r="H160" s="62">
        <f>IF(F160="","",IF(J160="Yes",ROUND(F160*G160,2),0))</f>
        <v/>
      </c>
      <c r="I160" s="62">
        <f>IF(F160="","",F160+ROUND(F160*G160,2))</f>
        <v/>
      </c>
      <c r="J160" s="61" t="n"/>
      <c r="K160" s="64">
        <f>IF(A160="","",DATE(YEAR(A160),MONTH(A160),1))</f>
        <v/>
      </c>
      <c r="L160" s="61" t="n"/>
      <c r="M160" s="65" t="n"/>
      <c r="N160" s="61" t="n"/>
    </row>
    <row r="161">
      <c r="A161" s="60" t="n"/>
      <c r="B161" s="61" t="n"/>
      <c r="C161" s="61" t="n"/>
      <c r="D161" s="61" t="n"/>
      <c r="E161" s="61" t="n"/>
      <c r="F161" s="62" t="n"/>
      <c r="G161" s="63">
        <f>IF(A161="","",Settings!$B$4)</f>
        <v/>
      </c>
      <c r="H161" s="62">
        <f>IF(F161="","",IF(J161="Yes",ROUND(F161*G161,2),0))</f>
        <v/>
      </c>
      <c r="I161" s="62">
        <f>IF(F161="","",F161+ROUND(F161*G161,2))</f>
        <v/>
      </c>
      <c r="J161" s="61" t="n"/>
      <c r="K161" s="64">
        <f>IF(A161="","",DATE(YEAR(A161),MONTH(A161),1))</f>
        <v/>
      </c>
      <c r="L161" s="61" t="n"/>
      <c r="M161" s="65" t="n"/>
      <c r="N161" s="61" t="n"/>
    </row>
    <row r="162">
      <c r="A162" s="60" t="n"/>
      <c r="B162" s="61" t="n"/>
      <c r="C162" s="61" t="n"/>
      <c r="D162" s="61" t="n"/>
      <c r="E162" s="61" t="n"/>
      <c r="F162" s="62" t="n"/>
      <c r="G162" s="63">
        <f>IF(A162="","",Settings!$B$4)</f>
        <v/>
      </c>
      <c r="H162" s="62">
        <f>IF(F162="","",IF(J162="Yes",ROUND(F162*G162,2),0))</f>
        <v/>
      </c>
      <c r="I162" s="62">
        <f>IF(F162="","",F162+ROUND(F162*G162,2))</f>
        <v/>
      </c>
      <c r="J162" s="61" t="n"/>
      <c r="K162" s="64">
        <f>IF(A162="","",DATE(YEAR(A162),MONTH(A162),1))</f>
        <v/>
      </c>
      <c r="L162" s="61" t="n"/>
      <c r="M162" s="65" t="n"/>
      <c r="N162" s="61" t="n"/>
    </row>
    <row r="164">
      <c r="A164" s="58" t="inlineStr">
        <is>
          <t>August 2026 / เดือน Aug</t>
        </is>
      </c>
    </row>
    <row r="165">
      <c r="A165" s="59" t="inlineStr">
        <is>
          <t>วันที่</t>
        </is>
      </c>
      <c r="B165" s="59" t="inlineStr">
        <is>
          <t>เลขที่บิล/ใบกำกับ</t>
        </is>
      </c>
      <c r="C165" s="59" t="inlineStr">
        <is>
          <t>ผู้ขาย</t>
        </is>
      </c>
      <c r="D165" s="59" t="inlineStr">
        <is>
          <t>รายละเอียด</t>
        </is>
      </c>
      <c r="E165" s="59" t="inlineStr">
        <is>
          <t>หมวด</t>
        </is>
      </c>
      <c r="F165" s="59" t="inlineStr">
        <is>
          <t>ยอดก่อน VAT</t>
        </is>
      </c>
      <c r="G165" s="59" t="inlineStr">
        <is>
          <t>อัตรา VAT</t>
        </is>
      </c>
      <c r="H165" s="59" t="inlineStr">
        <is>
          <t>ภาษีซื้อ</t>
        </is>
      </c>
      <c r="I165" s="59" t="inlineStr">
        <is>
          <t>ยอดรวม</t>
        </is>
      </c>
      <c r="J165" s="59" t="inlineStr">
        <is>
          <t>ขอคืน VAT ได้?</t>
        </is>
      </c>
      <c r="K165" s="59" t="inlineStr">
        <is>
          <t>เดือน</t>
        </is>
      </c>
      <c r="L165" s="59" t="inlineStr">
        <is>
          <t>ไฟล์บิล</t>
        </is>
      </c>
      <c r="M165" s="59" t="inlineStr">
        <is>
          <t>OCR Confidence</t>
        </is>
      </c>
      <c r="N165" s="59" t="inlineStr">
        <is>
          <t>หมายเหตุ</t>
        </is>
      </c>
    </row>
    <row r="166">
      <c r="A166" s="60" t="n"/>
      <c r="B166" s="61" t="n"/>
      <c r="C166" s="61" t="n"/>
      <c r="D166" s="61" t="n"/>
      <c r="E166" s="61" t="n"/>
      <c r="F166" s="62" t="n"/>
      <c r="G166" s="63">
        <f>IF(A166="","",Settings!$B$4)</f>
        <v/>
      </c>
      <c r="H166" s="62">
        <f>IF(F166="","",IF(J166="Yes",ROUND(F166*G166,2),0))</f>
        <v/>
      </c>
      <c r="I166" s="62">
        <f>IF(F166="","",F166+ROUND(F166*G166,2))</f>
        <v/>
      </c>
      <c r="J166" s="61" t="n"/>
      <c r="K166" s="64">
        <f>IF(A166="","",DATE(YEAR(A166),MONTH(A166),1))</f>
        <v/>
      </c>
      <c r="L166" s="61" t="n"/>
      <c r="M166" s="65" t="n"/>
      <c r="N166" s="61" t="n"/>
    </row>
    <row r="167">
      <c r="A167" s="60" t="n"/>
      <c r="B167" s="61" t="n"/>
      <c r="C167" s="61" t="n"/>
      <c r="D167" s="61" t="n"/>
      <c r="E167" s="61" t="n"/>
      <c r="F167" s="62" t="n"/>
      <c r="G167" s="63">
        <f>IF(A167="","",Settings!$B$4)</f>
        <v/>
      </c>
      <c r="H167" s="62">
        <f>IF(F167="","",IF(J167="Yes",ROUND(F167*G167,2),0))</f>
        <v/>
      </c>
      <c r="I167" s="62">
        <f>IF(F167="","",F167+ROUND(F167*G167,2))</f>
        <v/>
      </c>
      <c r="J167" s="61" t="n"/>
      <c r="K167" s="64">
        <f>IF(A167="","",DATE(YEAR(A167),MONTH(A167),1))</f>
        <v/>
      </c>
      <c r="L167" s="61" t="n"/>
      <c r="M167" s="65" t="n"/>
      <c r="N167" s="61" t="n"/>
    </row>
    <row r="168">
      <c r="A168" s="60" t="n"/>
      <c r="B168" s="61" t="n"/>
      <c r="C168" s="61" t="n"/>
      <c r="D168" s="61" t="n"/>
      <c r="E168" s="61" t="n"/>
      <c r="F168" s="62" t="n"/>
      <c r="G168" s="63">
        <f>IF(A168="","",Settings!$B$4)</f>
        <v/>
      </c>
      <c r="H168" s="62">
        <f>IF(F168="","",IF(J168="Yes",ROUND(F168*G168,2),0))</f>
        <v/>
      </c>
      <c r="I168" s="62">
        <f>IF(F168="","",F168+ROUND(F168*G168,2))</f>
        <v/>
      </c>
      <c r="J168" s="61" t="n"/>
      <c r="K168" s="64">
        <f>IF(A168="","",DATE(YEAR(A168),MONTH(A168),1))</f>
        <v/>
      </c>
      <c r="L168" s="61" t="n"/>
      <c r="M168" s="65" t="n"/>
      <c r="N168" s="61" t="n"/>
    </row>
    <row r="169">
      <c r="A169" s="60" t="n"/>
      <c r="B169" s="61" t="n"/>
      <c r="C169" s="61" t="n"/>
      <c r="D169" s="61" t="n"/>
      <c r="E169" s="61" t="n"/>
      <c r="F169" s="62" t="n"/>
      <c r="G169" s="63">
        <f>IF(A169="","",Settings!$B$4)</f>
        <v/>
      </c>
      <c r="H169" s="62">
        <f>IF(F169="","",IF(J169="Yes",ROUND(F169*G169,2),0))</f>
        <v/>
      </c>
      <c r="I169" s="62">
        <f>IF(F169="","",F169+ROUND(F169*G169,2))</f>
        <v/>
      </c>
      <c r="J169" s="61" t="n"/>
      <c r="K169" s="64">
        <f>IF(A169="","",DATE(YEAR(A169),MONTH(A169),1))</f>
        <v/>
      </c>
      <c r="L169" s="61" t="n"/>
      <c r="M169" s="65" t="n"/>
      <c r="N169" s="61" t="n"/>
    </row>
    <row r="170">
      <c r="A170" s="60" t="n"/>
      <c r="B170" s="61" t="n"/>
      <c r="C170" s="61" t="n"/>
      <c r="D170" s="61" t="n"/>
      <c r="E170" s="61" t="n"/>
      <c r="F170" s="62" t="n"/>
      <c r="G170" s="63">
        <f>IF(A170="","",Settings!$B$4)</f>
        <v/>
      </c>
      <c r="H170" s="62">
        <f>IF(F170="","",IF(J170="Yes",ROUND(F170*G170,2),0))</f>
        <v/>
      </c>
      <c r="I170" s="62">
        <f>IF(F170="","",F170+ROUND(F170*G170,2))</f>
        <v/>
      </c>
      <c r="J170" s="61" t="n"/>
      <c r="K170" s="64">
        <f>IF(A170="","",DATE(YEAR(A170),MONTH(A170),1))</f>
        <v/>
      </c>
      <c r="L170" s="61" t="n"/>
      <c r="M170" s="65" t="n"/>
      <c r="N170" s="61" t="n"/>
    </row>
    <row r="171">
      <c r="A171" s="60" t="n"/>
      <c r="B171" s="61" t="n"/>
      <c r="C171" s="61" t="n"/>
      <c r="D171" s="61" t="n"/>
      <c r="E171" s="61" t="n"/>
      <c r="F171" s="62" t="n"/>
      <c r="G171" s="63">
        <f>IF(A171="","",Settings!$B$4)</f>
        <v/>
      </c>
      <c r="H171" s="62">
        <f>IF(F171="","",IF(J171="Yes",ROUND(F171*G171,2),0))</f>
        <v/>
      </c>
      <c r="I171" s="62">
        <f>IF(F171="","",F171+ROUND(F171*G171,2))</f>
        <v/>
      </c>
      <c r="J171" s="61" t="n"/>
      <c r="K171" s="64">
        <f>IF(A171="","",DATE(YEAR(A171),MONTH(A171),1))</f>
        <v/>
      </c>
      <c r="L171" s="61" t="n"/>
      <c r="M171" s="65" t="n"/>
      <c r="N171" s="61" t="n"/>
    </row>
    <row r="172">
      <c r="A172" s="60" t="n"/>
      <c r="B172" s="61" t="n"/>
      <c r="C172" s="61" t="n"/>
      <c r="D172" s="61" t="n"/>
      <c r="E172" s="61" t="n"/>
      <c r="F172" s="62" t="n"/>
      <c r="G172" s="63">
        <f>IF(A172="","",Settings!$B$4)</f>
        <v/>
      </c>
      <c r="H172" s="62">
        <f>IF(F172="","",IF(J172="Yes",ROUND(F172*G172,2),0))</f>
        <v/>
      </c>
      <c r="I172" s="62">
        <f>IF(F172="","",F172+ROUND(F172*G172,2))</f>
        <v/>
      </c>
      <c r="J172" s="61" t="n"/>
      <c r="K172" s="64">
        <f>IF(A172="","",DATE(YEAR(A172),MONTH(A172),1))</f>
        <v/>
      </c>
      <c r="L172" s="61" t="n"/>
      <c r="M172" s="65" t="n"/>
      <c r="N172" s="61" t="n"/>
    </row>
    <row r="173">
      <c r="A173" s="60" t="n"/>
      <c r="B173" s="61" t="n"/>
      <c r="C173" s="61" t="n"/>
      <c r="D173" s="61" t="n"/>
      <c r="E173" s="61" t="n"/>
      <c r="F173" s="62" t="n"/>
      <c r="G173" s="63">
        <f>IF(A173="","",Settings!$B$4)</f>
        <v/>
      </c>
      <c r="H173" s="62">
        <f>IF(F173="","",IF(J173="Yes",ROUND(F173*G173,2),0))</f>
        <v/>
      </c>
      <c r="I173" s="62">
        <f>IF(F173="","",F173+ROUND(F173*G173,2))</f>
        <v/>
      </c>
      <c r="J173" s="61" t="n"/>
      <c r="K173" s="64">
        <f>IF(A173="","",DATE(YEAR(A173),MONTH(A173),1))</f>
        <v/>
      </c>
      <c r="L173" s="61" t="n"/>
      <c r="M173" s="65" t="n"/>
      <c r="N173" s="61" t="n"/>
    </row>
    <row r="174">
      <c r="A174" s="60" t="n"/>
      <c r="B174" s="61" t="n"/>
      <c r="C174" s="61" t="n"/>
      <c r="D174" s="61" t="n"/>
      <c r="E174" s="61" t="n"/>
      <c r="F174" s="62" t="n"/>
      <c r="G174" s="63">
        <f>IF(A174="","",Settings!$B$4)</f>
        <v/>
      </c>
      <c r="H174" s="62">
        <f>IF(F174="","",IF(J174="Yes",ROUND(F174*G174,2),0))</f>
        <v/>
      </c>
      <c r="I174" s="62">
        <f>IF(F174="","",F174+ROUND(F174*G174,2))</f>
        <v/>
      </c>
      <c r="J174" s="61" t="n"/>
      <c r="K174" s="64">
        <f>IF(A174="","",DATE(YEAR(A174),MONTH(A174),1))</f>
        <v/>
      </c>
      <c r="L174" s="61" t="n"/>
      <c r="M174" s="65" t="n"/>
      <c r="N174" s="61" t="n"/>
    </row>
    <row r="175">
      <c r="A175" s="60" t="n"/>
      <c r="B175" s="61" t="n"/>
      <c r="C175" s="61" t="n"/>
      <c r="D175" s="61" t="n"/>
      <c r="E175" s="61" t="n"/>
      <c r="F175" s="62" t="n"/>
      <c r="G175" s="63">
        <f>IF(A175="","",Settings!$B$4)</f>
        <v/>
      </c>
      <c r="H175" s="62">
        <f>IF(F175="","",IF(J175="Yes",ROUND(F175*G175,2),0))</f>
        <v/>
      </c>
      <c r="I175" s="62">
        <f>IF(F175="","",F175+ROUND(F175*G175,2))</f>
        <v/>
      </c>
      <c r="J175" s="61" t="n"/>
      <c r="K175" s="64">
        <f>IF(A175="","",DATE(YEAR(A175),MONTH(A175),1))</f>
        <v/>
      </c>
      <c r="L175" s="61" t="n"/>
      <c r="M175" s="65" t="n"/>
      <c r="N175" s="61" t="n"/>
    </row>
    <row r="176">
      <c r="A176" s="60" t="n"/>
      <c r="B176" s="61" t="n"/>
      <c r="C176" s="61" t="n"/>
      <c r="D176" s="61" t="n"/>
      <c r="E176" s="61" t="n"/>
      <c r="F176" s="62" t="n"/>
      <c r="G176" s="63">
        <f>IF(A176="","",Settings!$B$4)</f>
        <v/>
      </c>
      <c r="H176" s="62">
        <f>IF(F176="","",IF(J176="Yes",ROUND(F176*G176,2),0))</f>
        <v/>
      </c>
      <c r="I176" s="62">
        <f>IF(F176="","",F176+ROUND(F176*G176,2))</f>
        <v/>
      </c>
      <c r="J176" s="61" t="n"/>
      <c r="K176" s="64">
        <f>IF(A176="","",DATE(YEAR(A176),MONTH(A176),1))</f>
        <v/>
      </c>
      <c r="L176" s="61" t="n"/>
      <c r="M176" s="65" t="n"/>
      <c r="N176" s="61" t="n"/>
    </row>
    <row r="177">
      <c r="A177" s="60" t="n"/>
      <c r="B177" s="61" t="n"/>
      <c r="C177" s="61" t="n"/>
      <c r="D177" s="61" t="n"/>
      <c r="E177" s="61" t="n"/>
      <c r="F177" s="62" t="n"/>
      <c r="G177" s="63">
        <f>IF(A177="","",Settings!$B$4)</f>
        <v/>
      </c>
      <c r="H177" s="62">
        <f>IF(F177="","",IF(J177="Yes",ROUND(F177*G177,2),0))</f>
        <v/>
      </c>
      <c r="I177" s="62">
        <f>IF(F177="","",F177+ROUND(F177*G177,2))</f>
        <v/>
      </c>
      <c r="J177" s="61" t="n"/>
      <c r="K177" s="64">
        <f>IF(A177="","",DATE(YEAR(A177),MONTH(A177),1))</f>
        <v/>
      </c>
      <c r="L177" s="61" t="n"/>
      <c r="M177" s="65" t="n"/>
      <c r="N177" s="61" t="n"/>
    </row>
    <row r="178">
      <c r="A178" s="60" t="n"/>
      <c r="B178" s="61" t="n"/>
      <c r="C178" s="61" t="n"/>
      <c r="D178" s="61" t="n"/>
      <c r="E178" s="61" t="n"/>
      <c r="F178" s="62" t="n"/>
      <c r="G178" s="63">
        <f>IF(A178="","",Settings!$B$4)</f>
        <v/>
      </c>
      <c r="H178" s="62">
        <f>IF(F178="","",IF(J178="Yes",ROUND(F178*G178,2),0))</f>
        <v/>
      </c>
      <c r="I178" s="62">
        <f>IF(F178="","",F178+ROUND(F178*G178,2))</f>
        <v/>
      </c>
      <c r="J178" s="61" t="n"/>
      <c r="K178" s="64">
        <f>IF(A178="","",DATE(YEAR(A178),MONTH(A178),1))</f>
        <v/>
      </c>
      <c r="L178" s="61" t="n"/>
      <c r="M178" s="65" t="n"/>
      <c r="N178" s="61" t="n"/>
    </row>
    <row r="179">
      <c r="A179" s="60" t="n"/>
      <c r="B179" s="61" t="n"/>
      <c r="C179" s="61" t="n"/>
      <c r="D179" s="61" t="n"/>
      <c r="E179" s="61" t="n"/>
      <c r="F179" s="62" t="n"/>
      <c r="G179" s="63">
        <f>IF(A179="","",Settings!$B$4)</f>
        <v/>
      </c>
      <c r="H179" s="62">
        <f>IF(F179="","",IF(J179="Yes",ROUND(F179*G179,2),0))</f>
        <v/>
      </c>
      <c r="I179" s="62">
        <f>IF(F179="","",F179+ROUND(F179*G179,2))</f>
        <v/>
      </c>
      <c r="J179" s="61" t="n"/>
      <c r="K179" s="64">
        <f>IF(A179="","",DATE(YEAR(A179),MONTH(A179),1))</f>
        <v/>
      </c>
      <c r="L179" s="61" t="n"/>
      <c r="M179" s="65" t="n"/>
      <c r="N179" s="61" t="n"/>
    </row>
    <row r="180">
      <c r="A180" s="60" t="n"/>
      <c r="B180" s="61" t="n"/>
      <c r="C180" s="61" t="n"/>
      <c r="D180" s="61" t="n"/>
      <c r="E180" s="61" t="n"/>
      <c r="F180" s="62" t="n"/>
      <c r="G180" s="63">
        <f>IF(A180="","",Settings!$B$4)</f>
        <v/>
      </c>
      <c r="H180" s="62">
        <f>IF(F180="","",IF(J180="Yes",ROUND(F180*G180,2),0))</f>
        <v/>
      </c>
      <c r="I180" s="62">
        <f>IF(F180="","",F180+ROUND(F180*G180,2))</f>
        <v/>
      </c>
      <c r="J180" s="61" t="n"/>
      <c r="K180" s="64">
        <f>IF(A180="","",DATE(YEAR(A180),MONTH(A180),1))</f>
        <v/>
      </c>
      <c r="L180" s="61" t="n"/>
      <c r="M180" s="65" t="n"/>
      <c r="N180" s="61" t="n"/>
    </row>
    <row r="181">
      <c r="A181" s="60" t="n"/>
      <c r="B181" s="61" t="n"/>
      <c r="C181" s="61" t="n"/>
      <c r="D181" s="61" t="n"/>
      <c r="E181" s="61" t="n"/>
      <c r="F181" s="62" t="n"/>
      <c r="G181" s="63">
        <f>IF(A181="","",Settings!$B$4)</f>
        <v/>
      </c>
      <c r="H181" s="62">
        <f>IF(F181="","",IF(J181="Yes",ROUND(F181*G181,2),0))</f>
        <v/>
      </c>
      <c r="I181" s="62">
        <f>IF(F181="","",F181+ROUND(F181*G181,2))</f>
        <v/>
      </c>
      <c r="J181" s="61" t="n"/>
      <c r="K181" s="64">
        <f>IF(A181="","",DATE(YEAR(A181),MONTH(A181),1))</f>
        <v/>
      </c>
      <c r="L181" s="61" t="n"/>
      <c r="M181" s="65" t="n"/>
      <c r="N181" s="61" t="n"/>
    </row>
    <row r="182">
      <c r="A182" s="60" t="n"/>
      <c r="B182" s="61" t="n"/>
      <c r="C182" s="61" t="n"/>
      <c r="D182" s="61" t="n"/>
      <c r="E182" s="61" t="n"/>
      <c r="F182" s="62" t="n"/>
      <c r="G182" s="63">
        <f>IF(A182="","",Settings!$B$4)</f>
        <v/>
      </c>
      <c r="H182" s="62">
        <f>IF(F182="","",IF(J182="Yes",ROUND(F182*G182,2),0))</f>
        <v/>
      </c>
      <c r="I182" s="62">
        <f>IF(F182="","",F182+ROUND(F182*G182,2))</f>
        <v/>
      </c>
      <c r="J182" s="61" t="n"/>
      <c r="K182" s="64">
        <f>IF(A182="","",DATE(YEAR(A182),MONTH(A182),1))</f>
        <v/>
      </c>
      <c r="L182" s="61" t="n"/>
      <c r="M182" s="65" t="n"/>
      <c r="N182" s="61" t="n"/>
    </row>
    <row r="183">
      <c r="A183" s="60" t="n"/>
      <c r="B183" s="61" t="n"/>
      <c r="C183" s="61" t="n"/>
      <c r="D183" s="61" t="n"/>
      <c r="E183" s="61" t="n"/>
      <c r="F183" s="62" t="n"/>
      <c r="G183" s="63">
        <f>IF(A183="","",Settings!$B$4)</f>
        <v/>
      </c>
      <c r="H183" s="62">
        <f>IF(F183="","",IF(J183="Yes",ROUND(F183*G183,2),0))</f>
        <v/>
      </c>
      <c r="I183" s="62">
        <f>IF(F183="","",F183+ROUND(F183*G183,2))</f>
        <v/>
      </c>
      <c r="J183" s="61" t="n"/>
      <c r="K183" s="64">
        <f>IF(A183="","",DATE(YEAR(A183),MONTH(A183),1))</f>
        <v/>
      </c>
      <c r="L183" s="61" t="n"/>
      <c r="M183" s="65" t="n"/>
      <c r="N183" s="61" t="n"/>
    </row>
    <row r="184">
      <c r="A184" s="60" t="n"/>
      <c r="B184" s="61" t="n"/>
      <c r="C184" s="61" t="n"/>
      <c r="D184" s="61" t="n"/>
      <c r="E184" s="61" t="n"/>
      <c r="F184" s="62" t="n"/>
      <c r="G184" s="63">
        <f>IF(A184="","",Settings!$B$4)</f>
        <v/>
      </c>
      <c r="H184" s="62">
        <f>IF(F184="","",IF(J184="Yes",ROUND(F184*G184,2),0))</f>
        <v/>
      </c>
      <c r="I184" s="62">
        <f>IF(F184="","",F184+ROUND(F184*G184,2))</f>
        <v/>
      </c>
      <c r="J184" s="61" t="n"/>
      <c r="K184" s="64">
        <f>IF(A184="","",DATE(YEAR(A184),MONTH(A184),1))</f>
        <v/>
      </c>
      <c r="L184" s="61" t="n"/>
      <c r="M184" s="65" t="n"/>
      <c r="N184" s="61" t="n"/>
    </row>
    <row r="185">
      <c r="A185" s="60" t="n"/>
      <c r="B185" s="61" t="n"/>
      <c r="C185" s="61" t="n"/>
      <c r="D185" s="61" t="n"/>
      <c r="E185" s="61" t="n"/>
      <c r="F185" s="62" t="n"/>
      <c r="G185" s="63">
        <f>IF(A185="","",Settings!$B$4)</f>
        <v/>
      </c>
      <c r="H185" s="62">
        <f>IF(F185="","",IF(J185="Yes",ROUND(F185*G185,2),0))</f>
        <v/>
      </c>
      <c r="I185" s="62">
        <f>IF(F185="","",F185+ROUND(F185*G185,2))</f>
        <v/>
      </c>
      <c r="J185" s="61" t="n"/>
      <c r="K185" s="64">
        <f>IF(A185="","",DATE(YEAR(A185),MONTH(A185),1))</f>
        <v/>
      </c>
      <c r="L185" s="61" t="n"/>
      <c r="M185" s="65" t="n"/>
      <c r="N185" s="61" t="n"/>
    </row>
    <row r="187">
      <c r="A187" s="58" t="inlineStr">
        <is>
          <t>September 2026 / เดือน Sep</t>
        </is>
      </c>
    </row>
    <row r="188">
      <c r="A188" s="59" t="inlineStr">
        <is>
          <t>วันที่</t>
        </is>
      </c>
      <c r="B188" s="59" t="inlineStr">
        <is>
          <t>เลขที่บิล/ใบกำกับ</t>
        </is>
      </c>
      <c r="C188" s="59" t="inlineStr">
        <is>
          <t>ผู้ขาย</t>
        </is>
      </c>
      <c r="D188" s="59" t="inlineStr">
        <is>
          <t>รายละเอียด</t>
        </is>
      </c>
      <c r="E188" s="59" t="inlineStr">
        <is>
          <t>หมวด</t>
        </is>
      </c>
      <c r="F188" s="59" t="inlineStr">
        <is>
          <t>ยอดก่อน VAT</t>
        </is>
      </c>
      <c r="G188" s="59" t="inlineStr">
        <is>
          <t>อัตรา VAT</t>
        </is>
      </c>
      <c r="H188" s="59" t="inlineStr">
        <is>
          <t>ภาษีซื้อ</t>
        </is>
      </c>
      <c r="I188" s="59" t="inlineStr">
        <is>
          <t>ยอดรวม</t>
        </is>
      </c>
      <c r="J188" s="59" t="inlineStr">
        <is>
          <t>ขอคืน VAT ได้?</t>
        </is>
      </c>
      <c r="K188" s="59" t="inlineStr">
        <is>
          <t>เดือน</t>
        </is>
      </c>
      <c r="L188" s="59" t="inlineStr">
        <is>
          <t>ไฟล์บิล</t>
        </is>
      </c>
      <c r="M188" s="59" t="inlineStr">
        <is>
          <t>OCR Confidence</t>
        </is>
      </c>
      <c r="N188" s="59" t="inlineStr">
        <is>
          <t>หมายเหตุ</t>
        </is>
      </c>
    </row>
    <row r="189">
      <c r="A189" s="60" t="n"/>
      <c r="B189" s="61" t="n"/>
      <c r="C189" s="61" t="n"/>
      <c r="D189" s="61" t="n"/>
      <c r="E189" s="61" t="n"/>
      <c r="F189" s="62" t="n"/>
      <c r="G189" s="63">
        <f>IF(A189="","",Settings!$B$4)</f>
        <v/>
      </c>
      <c r="H189" s="62">
        <f>IF(F189="","",IF(J189="Yes",ROUND(F189*G189,2),0))</f>
        <v/>
      </c>
      <c r="I189" s="62">
        <f>IF(F189="","",F189+ROUND(F189*G189,2))</f>
        <v/>
      </c>
      <c r="J189" s="61" t="n"/>
      <c r="K189" s="64">
        <f>IF(A189="","",DATE(YEAR(A189),MONTH(A189),1))</f>
        <v/>
      </c>
      <c r="L189" s="61" t="n"/>
      <c r="M189" s="65" t="n"/>
      <c r="N189" s="61" t="n"/>
    </row>
    <row r="190">
      <c r="A190" s="60" t="n"/>
      <c r="B190" s="61" t="n"/>
      <c r="C190" s="61" t="n"/>
      <c r="D190" s="61" t="n"/>
      <c r="E190" s="61" t="n"/>
      <c r="F190" s="62" t="n"/>
      <c r="G190" s="63">
        <f>IF(A190="","",Settings!$B$4)</f>
        <v/>
      </c>
      <c r="H190" s="62">
        <f>IF(F190="","",IF(J190="Yes",ROUND(F190*G190,2),0))</f>
        <v/>
      </c>
      <c r="I190" s="62">
        <f>IF(F190="","",F190+ROUND(F190*G190,2))</f>
        <v/>
      </c>
      <c r="J190" s="61" t="n"/>
      <c r="K190" s="64">
        <f>IF(A190="","",DATE(YEAR(A190),MONTH(A190),1))</f>
        <v/>
      </c>
      <c r="L190" s="61" t="n"/>
      <c r="M190" s="65" t="n"/>
      <c r="N190" s="61" t="n"/>
    </row>
    <row r="191">
      <c r="A191" s="60" t="n"/>
      <c r="B191" s="61" t="n"/>
      <c r="C191" s="61" t="n"/>
      <c r="D191" s="61" t="n"/>
      <c r="E191" s="61" t="n"/>
      <c r="F191" s="62" t="n"/>
      <c r="G191" s="63">
        <f>IF(A191="","",Settings!$B$4)</f>
        <v/>
      </c>
      <c r="H191" s="62">
        <f>IF(F191="","",IF(J191="Yes",ROUND(F191*G191,2),0))</f>
        <v/>
      </c>
      <c r="I191" s="62">
        <f>IF(F191="","",F191+ROUND(F191*G191,2))</f>
        <v/>
      </c>
      <c r="J191" s="61" t="n"/>
      <c r="K191" s="64">
        <f>IF(A191="","",DATE(YEAR(A191),MONTH(A191),1))</f>
        <v/>
      </c>
      <c r="L191" s="61" t="n"/>
      <c r="M191" s="65" t="n"/>
      <c r="N191" s="61" t="n"/>
    </row>
    <row r="192">
      <c r="A192" s="60" t="n"/>
      <c r="B192" s="61" t="n"/>
      <c r="C192" s="61" t="n"/>
      <c r="D192" s="61" t="n"/>
      <c r="E192" s="61" t="n"/>
      <c r="F192" s="62" t="n"/>
      <c r="G192" s="63">
        <f>IF(A192="","",Settings!$B$4)</f>
        <v/>
      </c>
      <c r="H192" s="62">
        <f>IF(F192="","",IF(J192="Yes",ROUND(F192*G192,2),0))</f>
        <v/>
      </c>
      <c r="I192" s="62">
        <f>IF(F192="","",F192+ROUND(F192*G192,2))</f>
        <v/>
      </c>
      <c r="J192" s="61" t="n"/>
      <c r="K192" s="64">
        <f>IF(A192="","",DATE(YEAR(A192),MONTH(A192),1))</f>
        <v/>
      </c>
      <c r="L192" s="61" t="n"/>
      <c r="M192" s="65" t="n"/>
      <c r="N192" s="61" t="n"/>
    </row>
    <row r="193">
      <c r="A193" s="60" t="n"/>
      <c r="B193" s="61" t="n"/>
      <c r="C193" s="61" t="n"/>
      <c r="D193" s="61" t="n"/>
      <c r="E193" s="61" t="n"/>
      <c r="F193" s="62" t="n"/>
      <c r="G193" s="63">
        <f>IF(A193="","",Settings!$B$4)</f>
        <v/>
      </c>
      <c r="H193" s="62">
        <f>IF(F193="","",IF(J193="Yes",ROUND(F193*G193,2),0))</f>
        <v/>
      </c>
      <c r="I193" s="62">
        <f>IF(F193="","",F193+ROUND(F193*G193,2))</f>
        <v/>
      </c>
      <c r="J193" s="61" t="n"/>
      <c r="K193" s="64">
        <f>IF(A193="","",DATE(YEAR(A193),MONTH(A193),1))</f>
        <v/>
      </c>
      <c r="L193" s="61" t="n"/>
      <c r="M193" s="65" t="n"/>
      <c r="N193" s="61" t="n"/>
    </row>
    <row r="194">
      <c r="A194" s="60" t="n"/>
      <c r="B194" s="61" t="n"/>
      <c r="C194" s="61" t="n"/>
      <c r="D194" s="61" t="n"/>
      <c r="E194" s="61" t="n"/>
      <c r="F194" s="62" t="n"/>
      <c r="G194" s="63">
        <f>IF(A194="","",Settings!$B$4)</f>
        <v/>
      </c>
      <c r="H194" s="62">
        <f>IF(F194="","",IF(J194="Yes",ROUND(F194*G194,2),0))</f>
        <v/>
      </c>
      <c r="I194" s="62">
        <f>IF(F194="","",F194+ROUND(F194*G194,2))</f>
        <v/>
      </c>
      <c r="J194" s="61" t="n"/>
      <c r="K194" s="64">
        <f>IF(A194="","",DATE(YEAR(A194),MONTH(A194),1))</f>
        <v/>
      </c>
      <c r="L194" s="61" t="n"/>
      <c r="M194" s="65" t="n"/>
      <c r="N194" s="61" t="n"/>
    </row>
    <row r="195">
      <c r="A195" s="60" t="n"/>
      <c r="B195" s="61" t="n"/>
      <c r="C195" s="61" t="n"/>
      <c r="D195" s="61" t="n"/>
      <c r="E195" s="61" t="n"/>
      <c r="F195" s="62" t="n"/>
      <c r="G195" s="63">
        <f>IF(A195="","",Settings!$B$4)</f>
        <v/>
      </c>
      <c r="H195" s="62">
        <f>IF(F195="","",IF(J195="Yes",ROUND(F195*G195,2),0))</f>
        <v/>
      </c>
      <c r="I195" s="62">
        <f>IF(F195="","",F195+ROUND(F195*G195,2))</f>
        <v/>
      </c>
      <c r="J195" s="61" t="n"/>
      <c r="K195" s="64">
        <f>IF(A195="","",DATE(YEAR(A195),MONTH(A195),1))</f>
        <v/>
      </c>
      <c r="L195" s="61" t="n"/>
      <c r="M195" s="65" t="n"/>
      <c r="N195" s="61" t="n"/>
    </row>
    <row r="196">
      <c r="A196" s="60" t="n"/>
      <c r="B196" s="61" t="n"/>
      <c r="C196" s="61" t="n"/>
      <c r="D196" s="61" t="n"/>
      <c r="E196" s="61" t="n"/>
      <c r="F196" s="62" t="n"/>
      <c r="G196" s="63">
        <f>IF(A196="","",Settings!$B$4)</f>
        <v/>
      </c>
      <c r="H196" s="62">
        <f>IF(F196="","",IF(J196="Yes",ROUND(F196*G196,2),0))</f>
        <v/>
      </c>
      <c r="I196" s="62">
        <f>IF(F196="","",F196+ROUND(F196*G196,2))</f>
        <v/>
      </c>
      <c r="J196" s="61" t="n"/>
      <c r="K196" s="64">
        <f>IF(A196="","",DATE(YEAR(A196),MONTH(A196),1))</f>
        <v/>
      </c>
      <c r="L196" s="61" t="n"/>
      <c r="M196" s="65" t="n"/>
      <c r="N196" s="61" t="n"/>
    </row>
    <row r="197">
      <c r="A197" s="60" t="n"/>
      <c r="B197" s="61" t="n"/>
      <c r="C197" s="61" t="n"/>
      <c r="D197" s="61" t="n"/>
      <c r="E197" s="61" t="n"/>
      <c r="F197" s="62" t="n"/>
      <c r="G197" s="63">
        <f>IF(A197="","",Settings!$B$4)</f>
        <v/>
      </c>
      <c r="H197" s="62">
        <f>IF(F197="","",IF(J197="Yes",ROUND(F197*G197,2),0))</f>
        <v/>
      </c>
      <c r="I197" s="62">
        <f>IF(F197="","",F197+ROUND(F197*G197,2))</f>
        <v/>
      </c>
      <c r="J197" s="61" t="n"/>
      <c r="K197" s="64">
        <f>IF(A197="","",DATE(YEAR(A197),MONTH(A197),1))</f>
        <v/>
      </c>
      <c r="L197" s="61" t="n"/>
      <c r="M197" s="65" t="n"/>
      <c r="N197" s="61" t="n"/>
    </row>
    <row r="198">
      <c r="A198" s="60" t="n"/>
      <c r="B198" s="61" t="n"/>
      <c r="C198" s="61" t="n"/>
      <c r="D198" s="61" t="n"/>
      <c r="E198" s="61" t="n"/>
      <c r="F198" s="62" t="n"/>
      <c r="G198" s="63">
        <f>IF(A198="","",Settings!$B$4)</f>
        <v/>
      </c>
      <c r="H198" s="62">
        <f>IF(F198="","",IF(J198="Yes",ROUND(F198*G198,2),0))</f>
        <v/>
      </c>
      <c r="I198" s="62">
        <f>IF(F198="","",F198+ROUND(F198*G198,2))</f>
        <v/>
      </c>
      <c r="J198" s="61" t="n"/>
      <c r="K198" s="64">
        <f>IF(A198="","",DATE(YEAR(A198),MONTH(A198),1))</f>
        <v/>
      </c>
      <c r="L198" s="61" t="n"/>
      <c r="M198" s="65" t="n"/>
      <c r="N198" s="61" t="n"/>
    </row>
    <row r="199">
      <c r="A199" s="60" t="n"/>
      <c r="B199" s="61" t="n"/>
      <c r="C199" s="61" t="n"/>
      <c r="D199" s="61" t="n"/>
      <c r="E199" s="61" t="n"/>
      <c r="F199" s="62" t="n"/>
      <c r="G199" s="63">
        <f>IF(A199="","",Settings!$B$4)</f>
        <v/>
      </c>
      <c r="H199" s="62">
        <f>IF(F199="","",IF(J199="Yes",ROUND(F199*G199,2),0))</f>
        <v/>
      </c>
      <c r="I199" s="62">
        <f>IF(F199="","",F199+ROUND(F199*G199,2))</f>
        <v/>
      </c>
      <c r="J199" s="61" t="n"/>
      <c r="K199" s="64">
        <f>IF(A199="","",DATE(YEAR(A199),MONTH(A199),1))</f>
        <v/>
      </c>
      <c r="L199" s="61" t="n"/>
      <c r="M199" s="65" t="n"/>
      <c r="N199" s="61" t="n"/>
    </row>
    <row r="200">
      <c r="A200" s="60" t="n"/>
      <c r="B200" s="61" t="n"/>
      <c r="C200" s="61" t="n"/>
      <c r="D200" s="61" t="n"/>
      <c r="E200" s="61" t="n"/>
      <c r="F200" s="62" t="n"/>
      <c r="G200" s="63">
        <f>IF(A200="","",Settings!$B$4)</f>
        <v/>
      </c>
      <c r="H200" s="62">
        <f>IF(F200="","",IF(J200="Yes",ROUND(F200*G200,2),0))</f>
        <v/>
      </c>
      <c r="I200" s="62">
        <f>IF(F200="","",F200+ROUND(F200*G200,2))</f>
        <v/>
      </c>
      <c r="J200" s="61" t="n"/>
      <c r="K200" s="64">
        <f>IF(A200="","",DATE(YEAR(A200),MONTH(A200),1))</f>
        <v/>
      </c>
      <c r="L200" s="61" t="n"/>
      <c r="M200" s="65" t="n"/>
      <c r="N200" s="61" t="n"/>
    </row>
    <row r="201">
      <c r="A201" s="60" t="n"/>
      <c r="B201" s="61" t="n"/>
      <c r="C201" s="61" t="n"/>
      <c r="D201" s="61" t="n"/>
      <c r="E201" s="61" t="n"/>
      <c r="F201" s="62" t="n"/>
      <c r="G201" s="63">
        <f>IF(A201="","",Settings!$B$4)</f>
        <v/>
      </c>
      <c r="H201" s="62">
        <f>IF(F201="","",IF(J201="Yes",ROUND(F201*G201,2),0))</f>
        <v/>
      </c>
      <c r="I201" s="62">
        <f>IF(F201="","",F201+ROUND(F201*G201,2))</f>
        <v/>
      </c>
      <c r="J201" s="61" t="n"/>
      <c r="K201" s="64">
        <f>IF(A201="","",DATE(YEAR(A201),MONTH(A201),1))</f>
        <v/>
      </c>
      <c r="L201" s="61" t="n"/>
      <c r="M201" s="65" t="n"/>
      <c r="N201" s="61" t="n"/>
    </row>
    <row r="202">
      <c r="A202" s="60" t="n"/>
      <c r="B202" s="61" t="n"/>
      <c r="C202" s="61" t="n"/>
      <c r="D202" s="61" t="n"/>
      <c r="E202" s="61" t="n"/>
      <c r="F202" s="62" t="n"/>
      <c r="G202" s="63">
        <f>IF(A202="","",Settings!$B$4)</f>
        <v/>
      </c>
      <c r="H202" s="62">
        <f>IF(F202="","",IF(J202="Yes",ROUND(F202*G202,2),0))</f>
        <v/>
      </c>
      <c r="I202" s="62">
        <f>IF(F202="","",F202+ROUND(F202*G202,2))</f>
        <v/>
      </c>
      <c r="J202" s="61" t="n"/>
      <c r="K202" s="64">
        <f>IF(A202="","",DATE(YEAR(A202),MONTH(A202),1))</f>
        <v/>
      </c>
      <c r="L202" s="61" t="n"/>
      <c r="M202" s="65" t="n"/>
      <c r="N202" s="61" t="n"/>
    </row>
    <row r="203">
      <c r="A203" s="60" t="n"/>
      <c r="B203" s="61" t="n"/>
      <c r="C203" s="61" t="n"/>
      <c r="D203" s="61" t="n"/>
      <c r="E203" s="61" t="n"/>
      <c r="F203" s="62" t="n"/>
      <c r="G203" s="63">
        <f>IF(A203="","",Settings!$B$4)</f>
        <v/>
      </c>
      <c r="H203" s="62">
        <f>IF(F203="","",IF(J203="Yes",ROUND(F203*G203,2),0))</f>
        <v/>
      </c>
      <c r="I203" s="62">
        <f>IF(F203="","",F203+ROUND(F203*G203,2))</f>
        <v/>
      </c>
      <c r="J203" s="61" t="n"/>
      <c r="K203" s="64">
        <f>IF(A203="","",DATE(YEAR(A203),MONTH(A203),1))</f>
        <v/>
      </c>
      <c r="L203" s="61" t="n"/>
      <c r="M203" s="65" t="n"/>
      <c r="N203" s="61" t="n"/>
    </row>
    <row r="204">
      <c r="A204" s="60" t="n"/>
      <c r="B204" s="61" t="n"/>
      <c r="C204" s="61" t="n"/>
      <c r="D204" s="61" t="n"/>
      <c r="E204" s="61" t="n"/>
      <c r="F204" s="62" t="n"/>
      <c r="G204" s="63">
        <f>IF(A204="","",Settings!$B$4)</f>
        <v/>
      </c>
      <c r="H204" s="62">
        <f>IF(F204="","",IF(J204="Yes",ROUND(F204*G204,2),0))</f>
        <v/>
      </c>
      <c r="I204" s="62">
        <f>IF(F204="","",F204+ROUND(F204*G204,2))</f>
        <v/>
      </c>
      <c r="J204" s="61" t="n"/>
      <c r="K204" s="64">
        <f>IF(A204="","",DATE(YEAR(A204),MONTH(A204),1))</f>
        <v/>
      </c>
      <c r="L204" s="61" t="n"/>
      <c r="M204" s="65" t="n"/>
      <c r="N204" s="61" t="n"/>
    </row>
    <row r="205">
      <c r="A205" s="60" t="n"/>
      <c r="B205" s="61" t="n"/>
      <c r="C205" s="61" t="n"/>
      <c r="D205" s="61" t="n"/>
      <c r="E205" s="61" t="n"/>
      <c r="F205" s="62" t="n"/>
      <c r="G205" s="63">
        <f>IF(A205="","",Settings!$B$4)</f>
        <v/>
      </c>
      <c r="H205" s="62">
        <f>IF(F205="","",IF(J205="Yes",ROUND(F205*G205,2),0))</f>
        <v/>
      </c>
      <c r="I205" s="62">
        <f>IF(F205="","",F205+ROUND(F205*G205,2))</f>
        <v/>
      </c>
      <c r="J205" s="61" t="n"/>
      <c r="K205" s="64">
        <f>IF(A205="","",DATE(YEAR(A205),MONTH(A205),1))</f>
        <v/>
      </c>
      <c r="L205" s="61" t="n"/>
      <c r="M205" s="65" t="n"/>
      <c r="N205" s="61" t="n"/>
    </row>
    <row r="206">
      <c r="A206" s="60" t="n"/>
      <c r="B206" s="61" t="n"/>
      <c r="C206" s="61" t="n"/>
      <c r="D206" s="61" t="n"/>
      <c r="E206" s="61" t="n"/>
      <c r="F206" s="62" t="n"/>
      <c r="G206" s="63">
        <f>IF(A206="","",Settings!$B$4)</f>
        <v/>
      </c>
      <c r="H206" s="62">
        <f>IF(F206="","",IF(J206="Yes",ROUND(F206*G206,2),0))</f>
        <v/>
      </c>
      <c r="I206" s="62">
        <f>IF(F206="","",F206+ROUND(F206*G206,2))</f>
        <v/>
      </c>
      <c r="J206" s="61" t="n"/>
      <c r="K206" s="64">
        <f>IF(A206="","",DATE(YEAR(A206),MONTH(A206),1))</f>
        <v/>
      </c>
      <c r="L206" s="61" t="n"/>
      <c r="M206" s="65" t="n"/>
      <c r="N206" s="61" t="n"/>
    </row>
    <row r="207">
      <c r="A207" s="60" t="n"/>
      <c r="B207" s="61" t="n"/>
      <c r="C207" s="61" t="n"/>
      <c r="D207" s="61" t="n"/>
      <c r="E207" s="61" t="n"/>
      <c r="F207" s="62" t="n"/>
      <c r="G207" s="63">
        <f>IF(A207="","",Settings!$B$4)</f>
        <v/>
      </c>
      <c r="H207" s="62">
        <f>IF(F207="","",IF(J207="Yes",ROUND(F207*G207,2),0))</f>
        <v/>
      </c>
      <c r="I207" s="62">
        <f>IF(F207="","",F207+ROUND(F207*G207,2))</f>
        <v/>
      </c>
      <c r="J207" s="61" t="n"/>
      <c r="K207" s="64">
        <f>IF(A207="","",DATE(YEAR(A207),MONTH(A207),1))</f>
        <v/>
      </c>
      <c r="L207" s="61" t="n"/>
      <c r="M207" s="65" t="n"/>
      <c r="N207" s="61" t="n"/>
    </row>
    <row r="208">
      <c r="A208" s="60" t="n"/>
      <c r="B208" s="61" t="n"/>
      <c r="C208" s="61" t="n"/>
      <c r="D208" s="61" t="n"/>
      <c r="E208" s="61" t="n"/>
      <c r="F208" s="62" t="n"/>
      <c r="G208" s="63">
        <f>IF(A208="","",Settings!$B$4)</f>
        <v/>
      </c>
      <c r="H208" s="62">
        <f>IF(F208="","",IF(J208="Yes",ROUND(F208*G208,2),0))</f>
        <v/>
      </c>
      <c r="I208" s="62">
        <f>IF(F208="","",F208+ROUND(F208*G208,2))</f>
        <v/>
      </c>
      <c r="J208" s="61" t="n"/>
      <c r="K208" s="64">
        <f>IF(A208="","",DATE(YEAR(A208),MONTH(A208),1))</f>
        <v/>
      </c>
      <c r="L208" s="61" t="n"/>
      <c r="M208" s="65" t="n"/>
      <c r="N208" s="61" t="n"/>
    </row>
    <row r="210">
      <c r="A210" s="58" t="inlineStr">
        <is>
          <t>October 2026 / เดือน Oct</t>
        </is>
      </c>
    </row>
    <row r="211">
      <c r="A211" s="59" t="inlineStr">
        <is>
          <t>วันที่</t>
        </is>
      </c>
      <c r="B211" s="59" t="inlineStr">
        <is>
          <t>เลขที่บิล/ใบกำกับ</t>
        </is>
      </c>
      <c r="C211" s="59" t="inlineStr">
        <is>
          <t>ผู้ขาย</t>
        </is>
      </c>
      <c r="D211" s="59" t="inlineStr">
        <is>
          <t>รายละเอียด</t>
        </is>
      </c>
      <c r="E211" s="59" t="inlineStr">
        <is>
          <t>หมวด</t>
        </is>
      </c>
      <c r="F211" s="59" t="inlineStr">
        <is>
          <t>ยอดก่อน VAT</t>
        </is>
      </c>
      <c r="G211" s="59" t="inlineStr">
        <is>
          <t>อัตรา VAT</t>
        </is>
      </c>
      <c r="H211" s="59" t="inlineStr">
        <is>
          <t>ภาษีซื้อ</t>
        </is>
      </c>
      <c r="I211" s="59" t="inlineStr">
        <is>
          <t>ยอดรวม</t>
        </is>
      </c>
      <c r="J211" s="59" t="inlineStr">
        <is>
          <t>ขอคืน VAT ได้?</t>
        </is>
      </c>
      <c r="K211" s="59" t="inlineStr">
        <is>
          <t>เดือน</t>
        </is>
      </c>
      <c r="L211" s="59" t="inlineStr">
        <is>
          <t>ไฟล์บิล</t>
        </is>
      </c>
      <c r="M211" s="59" t="inlineStr">
        <is>
          <t>OCR Confidence</t>
        </is>
      </c>
      <c r="N211" s="59" t="inlineStr">
        <is>
          <t>หมายเหตุ</t>
        </is>
      </c>
    </row>
    <row r="212">
      <c r="A212" s="60" t="n"/>
      <c r="B212" s="61" t="n"/>
      <c r="C212" s="61" t="n"/>
      <c r="D212" s="61" t="n"/>
      <c r="E212" s="61" t="n"/>
      <c r="F212" s="62" t="n"/>
      <c r="G212" s="63">
        <f>IF(A212="","",Settings!$B$4)</f>
        <v/>
      </c>
      <c r="H212" s="62">
        <f>IF(F212="","",IF(J212="Yes",ROUND(F212*G212,2),0))</f>
        <v/>
      </c>
      <c r="I212" s="62">
        <f>IF(F212="","",F212+ROUND(F212*G212,2))</f>
        <v/>
      </c>
      <c r="J212" s="61" t="n"/>
      <c r="K212" s="64">
        <f>IF(A212="","",DATE(YEAR(A212),MONTH(A212),1))</f>
        <v/>
      </c>
      <c r="L212" s="61" t="n"/>
      <c r="M212" s="65" t="n"/>
      <c r="N212" s="61" t="n"/>
    </row>
    <row r="213">
      <c r="A213" s="60" t="n"/>
      <c r="B213" s="61" t="n"/>
      <c r="C213" s="61" t="n"/>
      <c r="D213" s="61" t="n"/>
      <c r="E213" s="61" t="n"/>
      <c r="F213" s="62" t="n"/>
      <c r="G213" s="63">
        <f>IF(A213="","",Settings!$B$4)</f>
        <v/>
      </c>
      <c r="H213" s="62">
        <f>IF(F213="","",IF(J213="Yes",ROUND(F213*G213,2),0))</f>
        <v/>
      </c>
      <c r="I213" s="62">
        <f>IF(F213="","",F213+ROUND(F213*G213,2))</f>
        <v/>
      </c>
      <c r="J213" s="61" t="n"/>
      <c r="K213" s="64">
        <f>IF(A213="","",DATE(YEAR(A213),MONTH(A213),1))</f>
        <v/>
      </c>
      <c r="L213" s="61" t="n"/>
      <c r="M213" s="65" t="n"/>
      <c r="N213" s="61" t="n"/>
    </row>
    <row r="214">
      <c r="A214" s="60" t="n"/>
      <c r="B214" s="61" t="n"/>
      <c r="C214" s="61" t="n"/>
      <c r="D214" s="61" t="n"/>
      <c r="E214" s="61" t="n"/>
      <c r="F214" s="62" t="n"/>
      <c r="G214" s="63">
        <f>IF(A214="","",Settings!$B$4)</f>
        <v/>
      </c>
      <c r="H214" s="62">
        <f>IF(F214="","",IF(J214="Yes",ROUND(F214*G214,2),0))</f>
        <v/>
      </c>
      <c r="I214" s="62">
        <f>IF(F214="","",F214+ROUND(F214*G214,2))</f>
        <v/>
      </c>
      <c r="J214" s="61" t="n"/>
      <c r="K214" s="64">
        <f>IF(A214="","",DATE(YEAR(A214),MONTH(A214),1))</f>
        <v/>
      </c>
      <c r="L214" s="61" t="n"/>
      <c r="M214" s="65" t="n"/>
      <c r="N214" s="61" t="n"/>
    </row>
    <row r="215">
      <c r="A215" s="60" t="n"/>
      <c r="B215" s="61" t="n"/>
      <c r="C215" s="61" t="n"/>
      <c r="D215" s="61" t="n"/>
      <c r="E215" s="61" t="n"/>
      <c r="F215" s="62" t="n"/>
      <c r="G215" s="63">
        <f>IF(A215="","",Settings!$B$4)</f>
        <v/>
      </c>
      <c r="H215" s="62">
        <f>IF(F215="","",IF(J215="Yes",ROUND(F215*G215,2),0))</f>
        <v/>
      </c>
      <c r="I215" s="62">
        <f>IF(F215="","",F215+ROUND(F215*G215,2))</f>
        <v/>
      </c>
      <c r="J215" s="61" t="n"/>
      <c r="K215" s="64">
        <f>IF(A215="","",DATE(YEAR(A215),MONTH(A215),1))</f>
        <v/>
      </c>
      <c r="L215" s="61" t="n"/>
      <c r="M215" s="65" t="n"/>
      <c r="N215" s="61" t="n"/>
    </row>
    <row r="216">
      <c r="A216" s="60" t="n"/>
      <c r="B216" s="61" t="n"/>
      <c r="C216" s="61" t="n"/>
      <c r="D216" s="61" t="n"/>
      <c r="E216" s="61" t="n"/>
      <c r="F216" s="62" t="n"/>
      <c r="G216" s="63">
        <f>IF(A216="","",Settings!$B$4)</f>
        <v/>
      </c>
      <c r="H216" s="62">
        <f>IF(F216="","",IF(J216="Yes",ROUND(F216*G216,2),0))</f>
        <v/>
      </c>
      <c r="I216" s="62">
        <f>IF(F216="","",F216+ROUND(F216*G216,2))</f>
        <v/>
      </c>
      <c r="J216" s="61" t="n"/>
      <c r="K216" s="64">
        <f>IF(A216="","",DATE(YEAR(A216),MONTH(A216),1))</f>
        <v/>
      </c>
      <c r="L216" s="61" t="n"/>
      <c r="M216" s="65" t="n"/>
      <c r="N216" s="61" t="n"/>
    </row>
    <row r="217">
      <c r="A217" s="60" t="n"/>
      <c r="B217" s="61" t="n"/>
      <c r="C217" s="61" t="n"/>
      <c r="D217" s="61" t="n"/>
      <c r="E217" s="61" t="n"/>
      <c r="F217" s="62" t="n"/>
      <c r="G217" s="63">
        <f>IF(A217="","",Settings!$B$4)</f>
        <v/>
      </c>
      <c r="H217" s="62">
        <f>IF(F217="","",IF(J217="Yes",ROUND(F217*G217,2),0))</f>
        <v/>
      </c>
      <c r="I217" s="62">
        <f>IF(F217="","",F217+ROUND(F217*G217,2))</f>
        <v/>
      </c>
      <c r="J217" s="61" t="n"/>
      <c r="K217" s="64">
        <f>IF(A217="","",DATE(YEAR(A217),MONTH(A217),1))</f>
        <v/>
      </c>
      <c r="L217" s="61" t="n"/>
      <c r="M217" s="65" t="n"/>
      <c r="N217" s="61" t="n"/>
    </row>
    <row r="218">
      <c r="A218" s="60" t="n"/>
      <c r="B218" s="61" t="n"/>
      <c r="C218" s="61" t="n"/>
      <c r="D218" s="61" t="n"/>
      <c r="E218" s="61" t="n"/>
      <c r="F218" s="62" t="n"/>
      <c r="G218" s="63">
        <f>IF(A218="","",Settings!$B$4)</f>
        <v/>
      </c>
      <c r="H218" s="62">
        <f>IF(F218="","",IF(J218="Yes",ROUND(F218*G218,2),0))</f>
        <v/>
      </c>
      <c r="I218" s="62">
        <f>IF(F218="","",F218+ROUND(F218*G218,2))</f>
        <v/>
      </c>
      <c r="J218" s="61" t="n"/>
      <c r="K218" s="64">
        <f>IF(A218="","",DATE(YEAR(A218),MONTH(A218),1))</f>
        <v/>
      </c>
      <c r="L218" s="61" t="n"/>
      <c r="M218" s="65" t="n"/>
      <c r="N218" s="61" t="n"/>
    </row>
    <row r="219">
      <c r="A219" s="60" t="n"/>
      <c r="B219" s="61" t="n"/>
      <c r="C219" s="61" t="n"/>
      <c r="D219" s="61" t="n"/>
      <c r="E219" s="61" t="n"/>
      <c r="F219" s="62" t="n"/>
      <c r="G219" s="63">
        <f>IF(A219="","",Settings!$B$4)</f>
        <v/>
      </c>
      <c r="H219" s="62">
        <f>IF(F219="","",IF(J219="Yes",ROUND(F219*G219,2),0))</f>
        <v/>
      </c>
      <c r="I219" s="62">
        <f>IF(F219="","",F219+ROUND(F219*G219,2))</f>
        <v/>
      </c>
      <c r="J219" s="61" t="n"/>
      <c r="K219" s="64">
        <f>IF(A219="","",DATE(YEAR(A219),MONTH(A219),1))</f>
        <v/>
      </c>
      <c r="L219" s="61" t="n"/>
      <c r="M219" s="65" t="n"/>
      <c r="N219" s="61" t="n"/>
    </row>
    <row r="220">
      <c r="A220" s="60" t="n"/>
      <c r="B220" s="61" t="n"/>
      <c r="C220" s="61" t="n"/>
      <c r="D220" s="61" t="n"/>
      <c r="E220" s="61" t="n"/>
      <c r="F220" s="62" t="n"/>
      <c r="G220" s="63">
        <f>IF(A220="","",Settings!$B$4)</f>
        <v/>
      </c>
      <c r="H220" s="62">
        <f>IF(F220="","",IF(J220="Yes",ROUND(F220*G220,2),0))</f>
        <v/>
      </c>
      <c r="I220" s="62">
        <f>IF(F220="","",F220+ROUND(F220*G220,2))</f>
        <v/>
      </c>
      <c r="J220" s="61" t="n"/>
      <c r="K220" s="64">
        <f>IF(A220="","",DATE(YEAR(A220),MONTH(A220),1))</f>
        <v/>
      </c>
      <c r="L220" s="61" t="n"/>
      <c r="M220" s="65" t="n"/>
      <c r="N220" s="61" t="n"/>
    </row>
    <row r="221">
      <c r="A221" s="60" t="n"/>
      <c r="B221" s="61" t="n"/>
      <c r="C221" s="61" t="n"/>
      <c r="D221" s="61" t="n"/>
      <c r="E221" s="61" t="n"/>
      <c r="F221" s="62" t="n"/>
      <c r="G221" s="63">
        <f>IF(A221="","",Settings!$B$4)</f>
        <v/>
      </c>
      <c r="H221" s="62">
        <f>IF(F221="","",IF(J221="Yes",ROUND(F221*G221,2),0))</f>
        <v/>
      </c>
      <c r="I221" s="62">
        <f>IF(F221="","",F221+ROUND(F221*G221,2))</f>
        <v/>
      </c>
      <c r="J221" s="61" t="n"/>
      <c r="K221" s="64">
        <f>IF(A221="","",DATE(YEAR(A221),MONTH(A221),1))</f>
        <v/>
      </c>
      <c r="L221" s="61" t="n"/>
      <c r="M221" s="65" t="n"/>
      <c r="N221" s="61" t="n"/>
    </row>
    <row r="222">
      <c r="A222" s="60" t="n"/>
      <c r="B222" s="61" t="n"/>
      <c r="C222" s="61" t="n"/>
      <c r="D222" s="61" t="n"/>
      <c r="E222" s="61" t="n"/>
      <c r="F222" s="62" t="n"/>
      <c r="G222" s="63">
        <f>IF(A222="","",Settings!$B$4)</f>
        <v/>
      </c>
      <c r="H222" s="62">
        <f>IF(F222="","",IF(J222="Yes",ROUND(F222*G222,2),0))</f>
        <v/>
      </c>
      <c r="I222" s="62">
        <f>IF(F222="","",F222+ROUND(F222*G222,2))</f>
        <v/>
      </c>
      <c r="J222" s="61" t="n"/>
      <c r="K222" s="64">
        <f>IF(A222="","",DATE(YEAR(A222),MONTH(A222),1))</f>
        <v/>
      </c>
      <c r="L222" s="61" t="n"/>
      <c r="M222" s="65" t="n"/>
      <c r="N222" s="61" t="n"/>
    </row>
    <row r="223">
      <c r="A223" s="60" t="n"/>
      <c r="B223" s="61" t="n"/>
      <c r="C223" s="61" t="n"/>
      <c r="D223" s="61" t="n"/>
      <c r="E223" s="61" t="n"/>
      <c r="F223" s="62" t="n"/>
      <c r="G223" s="63">
        <f>IF(A223="","",Settings!$B$4)</f>
        <v/>
      </c>
      <c r="H223" s="62">
        <f>IF(F223="","",IF(J223="Yes",ROUND(F223*G223,2),0))</f>
        <v/>
      </c>
      <c r="I223" s="62">
        <f>IF(F223="","",F223+ROUND(F223*G223,2))</f>
        <v/>
      </c>
      <c r="J223" s="61" t="n"/>
      <c r="K223" s="64">
        <f>IF(A223="","",DATE(YEAR(A223),MONTH(A223),1))</f>
        <v/>
      </c>
      <c r="L223" s="61" t="n"/>
      <c r="M223" s="65" t="n"/>
      <c r="N223" s="61" t="n"/>
    </row>
    <row r="224">
      <c r="A224" s="60" t="n"/>
      <c r="B224" s="61" t="n"/>
      <c r="C224" s="61" t="n"/>
      <c r="D224" s="61" t="n"/>
      <c r="E224" s="61" t="n"/>
      <c r="F224" s="62" t="n"/>
      <c r="G224" s="63">
        <f>IF(A224="","",Settings!$B$4)</f>
        <v/>
      </c>
      <c r="H224" s="62">
        <f>IF(F224="","",IF(J224="Yes",ROUND(F224*G224,2),0))</f>
        <v/>
      </c>
      <c r="I224" s="62">
        <f>IF(F224="","",F224+ROUND(F224*G224,2))</f>
        <v/>
      </c>
      <c r="J224" s="61" t="n"/>
      <c r="K224" s="64">
        <f>IF(A224="","",DATE(YEAR(A224),MONTH(A224),1))</f>
        <v/>
      </c>
      <c r="L224" s="61" t="n"/>
      <c r="M224" s="65" t="n"/>
      <c r="N224" s="61" t="n"/>
    </row>
    <row r="225">
      <c r="A225" s="60" t="n"/>
      <c r="B225" s="61" t="n"/>
      <c r="C225" s="61" t="n"/>
      <c r="D225" s="61" t="n"/>
      <c r="E225" s="61" t="n"/>
      <c r="F225" s="62" t="n"/>
      <c r="G225" s="63">
        <f>IF(A225="","",Settings!$B$4)</f>
        <v/>
      </c>
      <c r="H225" s="62">
        <f>IF(F225="","",IF(J225="Yes",ROUND(F225*G225,2),0))</f>
        <v/>
      </c>
      <c r="I225" s="62">
        <f>IF(F225="","",F225+ROUND(F225*G225,2))</f>
        <v/>
      </c>
      <c r="J225" s="61" t="n"/>
      <c r="K225" s="64">
        <f>IF(A225="","",DATE(YEAR(A225),MONTH(A225),1))</f>
        <v/>
      </c>
      <c r="L225" s="61" t="n"/>
      <c r="M225" s="65" t="n"/>
      <c r="N225" s="61" t="n"/>
    </row>
    <row r="226">
      <c r="A226" s="60" t="n"/>
      <c r="B226" s="61" t="n"/>
      <c r="C226" s="61" t="n"/>
      <c r="D226" s="61" t="n"/>
      <c r="E226" s="61" t="n"/>
      <c r="F226" s="62" t="n"/>
      <c r="G226" s="63">
        <f>IF(A226="","",Settings!$B$4)</f>
        <v/>
      </c>
      <c r="H226" s="62">
        <f>IF(F226="","",IF(J226="Yes",ROUND(F226*G226,2),0))</f>
        <v/>
      </c>
      <c r="I226" s="62">
        <f>IF(F226="","",F226+ROUND(F226*G226,2))</f>
        <v/>
      </c>
      <c r="J226" s="61" t="n"/>
      <c r="K226" s="64">
        <f>IF(A226="","",DATE(YEAR(A226),MONTH(A226),1))</f>
        <v/>
      </c>
      <c r="L226" s="61" t="n"/>
      <c r="M226" s="65" t="n"/>
      <c r="N226" s="61" t="n"/>
    </row>
    <row r="227">
      <c r="A227" s="60" t="n"/>
      <c r="B227" s="61" t="n"/>
      <c r="C227" s="61" t="n"/>
      <c r="D227" s="61" t="n"/>
      <c r="E227" s="61" t="n"/>
      <c r="F227" s="62" t="n"/>
      <c r="G227" s="63">
        <f>IF(A227="","",Settings!$B$4)</f>
        <v/>
      </c>
      <c r="H227" s="62">
        <f>IF(F227="","",IF(J227="Yes",ROUND(F227*G227,2),0))</f>
        <v/>
      </c>
      <c r="I227" s="62">
        <f>IF(F227="","",F227+ROUND(F227*G227,2))</f>
        <v/>
      </c>
      <c r="J227" s="61" t="n"/>
      <c r="K227" s="64">
        <f>IF(A227="","",DATE(YEAR(A227),MONTH(A227),1))</f>
        <v/>
      </c>
      <c r="L227" s="61" t="n"/>
      <c r="M227" s="65" t="n"/>
      <c r="N227" s="61" t="n"/>
    </row>
    <row r="228">
      <c r="A228" s="60" t="n"/>
      <c r="B228" s="61" t="n"/>
      <c r="C228" s="61" t="n"/>
      <c r="D228" s="61" t="n"/>
      <c r="E228" s="61" t="n"/>
      <c r="F228" s="62" t="n"/>
      <c r="G228" s="63">
        <f>IF(A228="","",Settings!$B$4)</f>
        <v/>
      </c>
      <c r="H228" s="62">
        <f>IF(F228="","",IF(J228="Yes",ROUND(F228*G228,2),0))</f>
        <v/>
      </c>
      <c r="I228" s="62">
        <f>IF(F228="","",F228+ROUND(F228*G228,2))</f>
        <v/>
      </c>
      <c r="J228" s="61" t="n"/>
      <c r="K228" s="64">
        <f>IF(A228="","",DATE(YEAR(A228),MONTH(A228),1))</f>
        <v/>
      </c>
      <c r="L228" s="61" t="n"/>
      <c r="M228" s="65" t="n"/>
      <c r="N228" s="61" t="n"/>
    </row>
    <row r="229">
      <c r="A229" s="60" t="n"/>
      <c r="B229" s="61" t="n"/>
      <c r="C229" s="61" t="n"/>
      <c r="D229" s="61" t="n"/>
      <c r="E229" s="61" t="n"/>
      <c r="F229" s="62" t="n"/>
      <c r="G229" s="63">
        <f>IF(A229="","",Settings!$B$4)</f>
        <v/>
      </c>
      <c r="H229" s="62">
        <f>IF(F229="","",IF(J229="Yes",ROUND(F229*G229,2),0))</f>
        <v/>
      </c>
      <c r="I229" s="62">
        <f>IF(F229="","",F229+ROUND(F229*G229,2))</f>
        <v/>
      </c>
      <c r="J229" s="61" t="n"/>
      <c r="K229" s="64">
        <f>IF(A229="","",DATE(YEAR(A229),MONTH(A229),1))</f>
        <v/>
      </c>
      <c r="L229" s="61" t="n"/>
      <c r="M229" s="65" t="n"/>
      <c r="N229" s="61" t="n"/>
    </row>
    <row r="230">
      <c r="A230" s="60" t="n"/>
      <c r="B230" s="61" t="n"/>
      <c r="C230" s="61" t="n"/>
      <c r="D230" s="61" t="n"/>
      <c r="E230" s="61" t="n"/>
      <c r="F230" s="62" t="n"/>
      <c r="G230" s="63">
        <f>IF(A230="","",Settings!$B$4)</f>
        <v/>
      </c>
      <c r="H230" s="62">
        <f>IF(F230="","",IF(J230="Yes",ROUND(F230*G230,2),0))</f>
        <v/>
      </c>
      <c r="I230" s="62">
        <f>IF(F230="","",F230+ROUND(F230*G230,2))</f>
        <v/>
      </c>
      <c r="J230" s="61" t="n"/>
      <c r="K230" s="64">
        <f>IF(A230="","",DATE(YEAR(A230),MONTH(A230),1))</f>
        <v/>
      </c>
      <c r="L230" s="61" t="n"/>
      <c r="M230" s="65" t="n"/>
      <c r="N230" s="61" t="n"/>
    </row>
    <row r="231">
      <c r="A231" s="60" t="n"/>
      <c r="B231" s="61" t="n"/>
      <c r="C231" s="61" t="n"/>
      <c r="D231" s="61" t="n"/>
      <c r="E231" s="61" t="n"/>
      <c r="F231" s="62" t="n"/>
      <c r="G231" s="63">
        <f>IF(A231="","",Settings!$B$4)</f>
        <v/>
      </c>
      <c r="H231" s="62">
        <f>IF(F231="","",IF(J231="Yes",ROUND(F231*G231,2),0))</f>
        <v/>
      </c>
      <c r="I231" s="62">
        <f>IF(F231="","",F231+ROUND(F231*G231,2))</f>
        <v/>
      </c>
      <c r="J231" s="61" t="n"/>
      <c r="K231" s="64">
        <f>IF(A231="","",DATE(YEAR(A231),MONTH(A231),1))</f>
        <v/>
      </c>
      <c r="L231" s="61" t="n"/>
      <c r="M231" s="65" t="n"/>
      <c r="N231" s="61" t="n"/>
    </row>
    <row r="233">
      <c r="A233" s="58" t="inlineStr">
        <is>
          <t>November 2026 / เดือน Nov</t>
        </is>
      </c>
    </row>
    <row r="234">
      <c r="A234" s="59" t="inlineStr">
        <is>
          <t>วันที่</t>
        </is>
      </c>
      <c r="B234" s="59" t="inlineStr">
        <is>
          <t>เลขที่บิล/ใบกำกับ</t>
        </is>
      </c>
      <c r="C234" s="59" t="inlineStr">
        <is>
          <t>ผู้ขาย</t>
        </is>
      </c>
      <c r="D234" s="59" t="inlineStr">
        <is>
          <t>รายละเอียด</t>
        </is>
      </c>
      <c r="E234" s="59" t="inlineStr">
        <is>
          <t>หมวด</t>
        </is>
      </c>
      <c r="F234" s="59" t="inlineStr">
        <is>
          <t>ยอดก่อน VAT</t>
        </is>
      </c>
      <c r="G234" s="59" t="inlineStr">
        <is>
          <t>อัตรา VAT</t>
        </is>
      </c>
      <c r="H234" s="59" t="inlineStr">
        <is>
          <t>ภาษีซื้อ</t>
        </is>
      </c>
      <c r="I234" s="59" t="inlineStr">
        <is>
          <t>ยอดรวม</t>
        </is>
      </c>
      <c r="J234" s="59" t="inlineStr">
        <is>
          <t>ขอคืน VAT ได้?</t>
        </is>
      </c>
      <c r="K234" s="59" t="inlineStr">
        <is>
          <t>เดือน</t>
        </is>
      </c>
      <c r="L234" s="59" t="inlineStr">
        <is>
          <t>ไฟล์บิล</t>
        </is>
      </c>
      <c r="M234" s="59" t="inlineStr">
        <is>
          <t>OCR Confidence</t>
        </is>
      </c>
      <c r="N234" s="59" t="inlineStr">
        <is>
          <t>หมายเหตุ</t>
        </is>
      </c>
    </row>
    <row r="235">
      <c r="A235" s="60" t="n"/>
      <c r="B235" s="61" t="n"/>
      <c r="C235" s="61" t="n"/>
      <c r="D235" s="61" t="n"/>
      <c r="E235" s="61" t="n"/>
      <c r="F235" s="62" t="n"/>
      <c r="G235" s="63">
        <f>IF(A235="","",Settings!$B$4)</f>
        <v/>
      </c>
      <c r="H235" s="62">
        <f>IF(F235="","",IF(J235="Yes",ROUND(F235*G235,2),0))</f>
        <v/>
      </c>
      <c r="I235" s="62">
        <f>IF(F235="","",F235+ROUND(F235*G235,2))</f>
        <v/>
      </c>
      <c r="J235" s="61" t="n"/>
      <c r="K235" s="64">
        <f>IF(A235="","",DATE(YEAR(A235),MONTH(A235),1))</f>
        <v/>
      </c>
      <c r="L235" s="61" t="n"/>
      <c r="M235" s="65" t="n"/>
      <c r="N235" s="61" t="n"/>
    </row>
    <row r="236">
      <c r="A236" s="60" t="n"/>
      <c r="B236" s="61" t="n"/>
      <c r="C236" s="61" t="n"/>
      <c r="D236" s="61" t="n"/>
      <c r="E236" s="61" t="n"/>
      <c r="F236" s="62" t="n"/>
      <c r="G236" s="63">
        <f>IF(A236="","",Settings!$B$4)</f>
        <v/>
      </c>
      <c r="H236" s="62">
        <f>IF(F236="","",IF(J236="Yes",ROUND(F236*G236,2),0))</f>
        <v/>
      </c>
      <c r="I236" s="62">
        <f>IF(F236="","",F236+ROUND(F236*G236,2))</f>
        <v/>
      </c>
      <c r="J236" s="61" t="n"/>
      <c r="K236" s="64">
        <f>IF(A236="","",DATE(YEAR(A236),MONTH(A236),1))</f>
        <v/>
      </c>
      <c r="L236" s="61" t="n"/>
      <c r="M236" s="65" t="n"/>
      <c r="N236" s="61" t="n"/>
    </row>
    <row r="237">
      <c r="A237" s="60" t="n"/>
      <c r="B237" s="61" t="n"/>
      <c r="C237" s="61" t="n"/>
      <c r="D237" s="61" t="n"/>
      <c r="E237" s="61" t="n"/>
      <c r="F237" s="62" t="n"/>
      <c r="G237" s="63">
        <f>IF(A237="","",Settings!$B$4)</f>
        <v/>
      </c>
      <c r="H237" s="62">
        <f>IF(F237="","",IF(J237="Yes",ROUND(F237*G237,2),0))</f>
        <v/>
      </c>
      <c r="I237" s="62">
        <f>IF(F237="","",F237+ROUND(F237*G237,2))</f>
        <v/>
      </c>
      <c r="J237" s="61" t="n"/>
      <c r="K237" s="64">
        <f>IF(A237="","",DATE(YEAR(A237),MONTH(A237),1))</f>
        <v/>
      </c>
      <c r="L237" s="61" t="n"/>
      <c r="M237" s="65" t="n"/>
      <c r="N237" s="61" t="n"/>
    </row>
    <row r="238">
      <c r="A238" s="60" t="n"/>
      <c r="B238" s="61" t="n"/>
      <c r="C238" s="61" t="n"/>
      <c r="D238" s="61" t="n"/>
      <c r="E238" s="61" t="n"/>
      <c r="F238" s="62" t="n"/>
      <c r="G238" s="63">
        <f>IF(A238="","",Settings!$B$4)</f>
        <v/>
      </c>
      <c r="H238" s="62">
        <f>IF(F238="","",IF(J238="Yes",ROUND(F238*G238,2),0))</f>
        <v/>
      </c>
      <c r="I238" s="62">
        <f>IF(F238="","",F238+ROUND(F238*G238,2))</f>
        <v/>
      </c>
      <c r="J238" s="61" t="n"/>
      <c r="K238" s="64">
        <f>IF(A238="","",DATE(YEAR(A238),MONTH(A238),1))</f>
        <v/>
      </c>
      <c r="L238" s="61" t="n"/>
      <c r="M238" s="65" t="n"/>
      <c r="N238" s="61" t="n"/>
    </row>
    <row r="239">
      <c r="A239" s="60" t="n"/>
      <c r="B239" s="61" t="n"/>
      <c r="C239" s="61" t="n"/>
      <c r="D239" s="61" t="n"/>
      <c r="E239" s="61" t="n"/>
      <c r="F239" s="62" t="n"/>
      <c r="G239" s="63">
        <f>IF(A239="","",Settings!$B$4)</f>
        <v/>
      </c>
      <c r="H239" s="62">
        <f>IF(F239="","",IF(J239="Yes",ROUND(F239*G239,2),0))</f>
        <v/>
      </c>
      <c r="I239" s="62">
        <f>IF(F239="","",F239+ROUND(F239*G239,2))</f>
        <v/>
      </c>
      <c r="J239" s="61" t="n"/>
      <c r="K239" s="64">
        <f>IF(A239="","",DATE(YEAR(A239),MONTH(A239),1))</f>
        <v/>
      </c>
      <c r="L239" s="61" t="n"/>
      <c r="M239" s="65" t="n"/>
      <c r="N239" s="61" t="n"/>
    </row>
    <row r="240">
      <c r="A240" s="60" t="n"/>
      <c r="B240" s="61" t="n"/>
      <c r="C240" s="61" t="n"/>
      <c r="D240" s="61" t="n"/>
      <c r="E240" s="61" t="n"/>
      <c r="F240" s="62" t="n"/>
      <c r="G240" s="63">
        <f>IF(A240="","",Settings!$B$4)</f>
        <v/>
      </c>
      <c r="H240" s="62">
        <f>IF(F240="","",IF(J240="Yes",ROUND(F240*G240,2),0))</f>
        <v/>
      </c>
      <c r="I240" s="62">
        <f>IF(F240="","",F240+ROUND(F240*G240,2))</f>
        <v/>
      </c>
      <c r="J240" s="61" t="n"/>
      <c r="K240" s="64">
        <f>IF(A240="","",DATE(YEAR(A240),MONTH(A240),1))</f>
        <v/>
      </c>
      <c r="L240" s="61" t="n"/>
      <c r="M240" s="65" t="n"/>
      <c r="N240" s="61" t="n"/>
    </row>
    <row r="241">
      <c r="A241" s="60" t="n"/>
      <c r="B241" s="61" t="n"/>
      <c r="C241" s="61" t="n"/>
      <c r="D241" s="61" t="n"/>
      <c r="E241" s="61" t="n"/>
      <c r="F241" s="62" t="n"/>
      <c r="G241" s="63">
        <f>IF(A241="","",Settings!$B$4)</f>
        <v/>
      </c>
      <c r="H241" s="62">
        <f>IF(F241="","",IF(J241="Yes",ROUND(F241*G241,2),0))</f>
        <v/>
      </c>
      <c r="I241" s="62">
        <f>IF(F241="","",F241+ROUND(F241*G241,2))</f>
        <v/>
      </c>
      <c r="J241" s="61" t="n"/>
      <c r="K241" s="64">
        <f>IF(A241="","",DATE(YEAR(A241),MONTH(A241),1))</f>
        <v/>
      </c>
      <c r="L241" s="61" t="n"/>
      <c r="M241" s="65" t="n"/>
      <c r="N241" s="61" t="n"/>
    </row>
    <row r="242">
      <c r="A242" s="60" t="n"/>
      <c r="B242" s="61" t="n"/>
      <c r="C242" s="61" t="n"/>
      <c r="D242" s="61" t="n"/>
      <c r="E242" s="61" t="n"/>
      <c r="F242" s="62" t="n"/>
      <c r="G242" s="63">
        <f>IF(A242="","",Settings!$B$4)</f>
        <v/>
      </c>
      <c r="H242" s="62">
        <f>IF(F242="","",IF(J242="Yes",ROUND(F242*G242,2),0))</f>
        <v/>
      </c>
      <c r="I242" s="62">
        <f>IF(F242="","",F242+ROUND(F242*G242,2))</f>
        <v/>
      </c>
      <c r="J242" s="61" t="n"/>
      <c r="K242" s="64">
        <f>IF(A242="","",DATE(YEAR(A242),MONTH(A242),1))</f>
        <v/>
      </c>
      <c r="L242" s="61" t="n"/>
      <c r="M242" s="65" t="n"/>
      <c r="N242" s="61" t="n"/>
    </row>
    <row r="243">
      <c r="A243" s="60" t="n"/>
      <c r="B243" s="61" t="n"/>
      <c r="C243" s="61" t="n"/>
      <c r="D243" s="61" t="n"/>
      <c r="E243" s="61" t="n"/>
      <c r="F243" s="62" t="n"/>
      <c r="G243" s="63">
        <f>IF(A243="","",Settings!$B$4)</f>
        <v/>
      </c>
      <c r="H243" s="62">
        <f>IF(F243="","",IF(J243="Yes",ROUND(F243*G243,2),0))</f>
        <v/>
      </c>
      <c r="I243" s="62">
        <f>IF(F243="","",F243+ROUND(F243*G243,2))</f>
        <v/>
      </c>
      <c r="J243" s="61" t="n"/>
      <c r="K243" s="64">
        <f>IF(A243="","",DATE(YEAR(A243),MONTH(A243),1))</f>
        <v/>
      </c>
      <c r="L243" s="61" t="n"/>
      <c r="M243" s="65" t="n"/>
      <c r="N243" s="61" t="n"/>
    </row>
    <row r="244">
      <c r="A244" s="60" t="n"/>
      <c r="B244" s="61" t="n"/>
      <c r="C244" s="61" t="n"/>
      <c r="D244" s="61" t="n"/>
      <c r="E244" s="61" t="n"/>
      <c r="F244" s="62" t="n"/>
      <c r="G244" s="63">
        <f>IF(A244="","",Settings!$B$4)</f>
        <v/>
      </c>
      <c r="H244" s="62">
        <f>IF(F244="","",IF(J244="Yes",ROUND(F244*G244,2),0))</f>
        <v/>
      </c>
      <c r="I244" s="62">
        <f>IF(F244="","",F244+ROUND(F244*G244,2))</f>
        <v/>
      </c>
      <c r="J244" s="61" t="n"/>
      <c r="K244" s="64">
        <f>IF(A244="","",DATE(YEAR(A244),MONTH(A244),1))</f>
        <v/>
      </c>
      <c r="L244" s="61" t="n"/>
      <c r="M244" s="65" t="n"/>
      <c r="N244" s="61" t="n"/>
    </row>
    <row r="245">
      <c r="A245" s="60" t="n"/>
      <c r="B245" s="61" t="n"/>
      <c r="C245" s="61" t="n"/>
      <c r="D245" s="61" t="n"/>
      <c r="E245" s="61" t="n"/>
      <c r="F245" s="62" t="n"/>
      <c r="G245" s="63">
        <f>IF(A245="","",Settings!$B$4)</f>
        <v/>
      </c>
      <c r="H245" s="62">
        <f>IF(F245="","",IF(J245="Yes",ROUND(F245*G245,2),0))</f>
        <v/>
      </c>
      <c r="I245" s="62">
        <f>IF(F245="","",F245+ROUND(F245*G245,2))</f>
        <v/>
      </c>
      <c r="J245" s="61" t="n"/>
      <c r="K245" s="64">
        <f>IF(A245="","",DATE(YEAR(A245),MONTH(A245),1))</f>
        <v/>
      </c>
      <c r="L245" s="61" t="n"/>
      <c r="M245" s="65" t="n"/>
      <c r="N245" s="61" t="n"/>
    </row>
    <row r="246">
      <c r="A246" s="60" t="n"/>
      <c r="B246" s="61" t="n"/>
      <c r="C246" s="61" t="n"/>
      <c r="D246" s="61" t="n"/>
      <c r="E246" s="61" t="n"/>
      <c r="F246" s="62" t="n"/>
      <c r="G246" s="63">
        <f>IF(A246="","",Settings!$B$4)</f>
        <v/>
      </c>
      <c r="H246" s="62">
        <f>IF(F246="","",IF(J246="Yes",ROUND(F246*G246,2),0))</f>
        <v/>
      </c>
      <c r="I246" s="62">
        <f>IF(F246="","",F246+ROUND(F246*G246,2))</f>
        <v/>
      </c>
      <c r="J246" s="61" t="n"/>
      <c r="K246" s="64">
        <f>IF(A246="","",DATE(YEAR(A246),MONTH(A246),1))</f>
        <v/>
      </c>
      <c r="L246" s="61" t="n"/>
      <c r="M246" s="65" t="n"/>
      <c r="N246" s="61" t="n"/>
    </row>
    <row r="247">
      <c r="A247" s="60" t="n"/>
      <c r="B247" s="61" t="n"/>
      <c r="C247" s="61" t="n"/>
      <c r="D247" s="61" t="n"/>
      <c r="E247" s="61" t="n"/>
      <c r="F247" s="62" t="n"/>
      <c r="G247" s="63">
        <f>IF(A247="","",Settings!$B$4)</f>
        <v/>
      </c>
      <c r="H247" s="62">
        <f>IF(F247="","",IF(J247="Yes",ROUND(F247*G247,2),0))</f>
        <v/>
      </c>
      <c r="I247" s="62">
        <f>IF(F247="","",F247+ROUND(F247*G247,2))</f>
        <v/>
      </c>
      <c r="J247" s="61" t="n"/>
      <c r="K247" s="64">
        <f>IF(A247="","",DATE(YEAR(A247),MONTH(A247),1))</f>
        <v/>
      </c>
      <c r="L247" s="61" t="n"/>
      <c r="M247" s="65" t="n"/>
      <c r="N247" s="61" t="n"/>
    </row>
    <row r="248">
      <c r="A248" s="60" t="n"/>
      <c r="B248" s="61" t="n"/>
      <c r="C248" s="61" t="n"/>
      <c r="D248" s="61" t="n"/>
      <c r="E248" s="61" t="n"/>
      <c r="F248" s="62" t="n"/>
      <c r="G248" s="63">
        <f>IF(A248="","",Settings!$B$4)</f>
        <v/>
      </c>
      <c r="H248" s="62">
        <f>IF(F248="","",IF(J248="Yes",ROUND(F248*G248,2),0))</f>
        <v/>
      </c>
      <c r="I248" s="62">
        <f>IF(F248="","",F248+ROUND(F248*G248,2))</f>
        <v/>
      </c>
      <c r="J248" s="61" t="n"/>
      <c r="K248" s="64">
        <f>IF(A248="","",DATE(YEAR(A248),MONTH(A248),1))</f>
        <v/>
      </c>
      <c r="L248" s="61" t="n"/>
      <c r="M248" s="65" t="n"/>
      <c r="N248" s="61" t="n"/>
    </row>
    <row r="249">
      <c r="A249" s="60" t="n"/>
      <c r="B249" s="61" t="n"/>
      <c r="C249" s="61" t="n"/>
      <c r="D249" s="61" t="n"/>
      <c r="E249" s="61" t="n"/>
      <c r="F249" s="62" t="n"/>
      <c r="G249" s="63">
        <f>IF(A249="","",Settings!$B$4)</f>
        <v/>
      </c>
      <c r="H249" s="62">
        <f>IF(F249="","",IF(J249="Yes",ROUND(F249*G249,2),0))</f>
        <v/>
      </c>
      <c r="I249" s="62">
        <f>IF(F249="","",F249+ROUND(F249*G249,2))</f>
        <v/>
      </c>
      <c r="J249" s="61" t="n"/>
      <c r="K249" s="64">
        <f>IF(A249="","",DATE(YEAR(A249),MONTH(A249),1))</f>
        <v/>
      </c>
      <c r="L249" s="61" t="n"/>
      <c r="M249" s="65" t="n"/>
      <c r="N249" s="61" t="n"/>
    </row>
    <row r="250">
      <c r="A250" s="60" t="n"/>
      <c r="B250" s="61" t="n"/>
      <c r="C250" s="61" t="n"/>
      <c r="D250" s="61" t="n"/>
      <c r="E250" s="61" t="n"/>
      <c r="F250" s="62" t="n"/>
      <c r="G250" s="63">
        <f>IF(A250="","",Settings!$B$4)</f>
        <v/>
      </c>
      <c r="H250" s="62">
        <f>IF(F250="","",IF(J250="Yes",ROUND(F250*G250,2),0))</f>
        <v/>
      </c>
      <c r="I250" s="62">
        <f>IF(F250="","",F250+ROUND(F250*G250,2))</f>
        <v/>
      </c>
      <c r="J250" s="61" t="n"/>
      <c r="K250" s="64">
        <f>IF(A250="","",DATE(YEAR(A250),MONTH(A250),1))</f>
        <v/>
      </c>
      <c r="L250" s="61" t="n"/>
      <c r="M250" s="65" t="n"/>
      <c r="N250" s="61" t="n"/>
    </row>
    <row r="251">
      <c r="A251" s="60" t="n"/>
      <c r="B251" s="61" t="n"/>
      <c r="C251" s="61" t="n"/>
      <c r="D251" s="61" t="n"/>
      <c r="E251" s="61" t="n"/>
      <c r="F251" s="62" t="n"/>
      <c r="G251" s="63">
        <f>IF(A251="","",Settings!$B$4)</f>
        <v/>
      </c>
      <c r="H251" s="62">
        <f>IF(F251="","",IF(J251="Yes",ROUND(F251*G251,2),0))</f>
        <v/>
      </c>
      <c r="I251" s="62">
        <f>IF(F251="","",F251+ROUND(F251*G251,2))</f>
        <v/>
      </c>
      <c r="J251" s="61" t="n"/>
      <c r="K251" s="64">
        <f>IF(A251="","",DATE(YEAR(A251),MONTH(A251),1))</f>
        <v/>
      </c>
      <c r="L251" s="61" t="n"/>
      <c r="M251" s="65" t="n"/>
      <c r="N251" s="61" t="n"/>
    </row>
    <row r="252">
      <c r="A252" s="60" t="n"/>
      <c r="B252" s="61" t="n"/>
      <c r="C252" s="61" t="n"/>
      <c r="D252" s="61" t="n"/>
      <c r="E252" s="61" t="n"/>
      <c r="F252" s="62" t="n"/>
      <c r="G252" s="63">
        <f>IF(A252="","",Settings!$B$4)</f>
        <v/>
      </c>
      <c r="H252" s="62">
        <f>IF(F252="","",IF(J252="Yes",ROUND(F252*G252,2),0))</f>
        <v/>
      </c>
      <c r="I252" s="62">
        <f>IF(F252="","",F252+ROUND(F252*G252,2))</f>
        <v/>
      </c>
      <c r="J252" s="61" t="n"/>
      <c r="K252" s="64">
        <f>IF(A252="","",DATE(YEAR(A252),MONTH(A252),1))</f>
        <v/>
      </c>
      <c r="L252" s="61" t="n"/>
      <c r="M252" s="65" t="n"/>
      <c r="N252" s="61" t="n"/>
    </row>
    <row r="253">
      <c r="A253" s="60" t="n"/>
      <c r="B253" s="61" t="n"/>
      <c r="C253" s="61" t="n"/>
      <c r="D253" s="61" t="n"/>
      <c r="E253" s="61" t="n"/>
      <c r="F253" s="62" t="n"/>
      <c r="G253" s="63">
        <f>IF(A253="","",Settings!$B$4)</f>
        <v/>
      </c>
      <c r="H253" s="62">
        <f>IF(F253="","",IF(J253="Yes",ROUND(F253*G253,2),0))</f>
        <v/>
      </c>
      <c r="I253" s="62">
        <f>IF(F253="","",F253+ROUND(F253*G253,2))</f>
        <v/>
      </c>
      <c r="J253" s="61" t="n"/>
      <c r="K253" s="64">
        <f>IF(A253="","",DATE(YEAR(A253),MONTH(A253),1))</f>
        <v/>
      </c>
      <c r="L253" s="61" t="n"/>
      <c r="M253" s="65" t="n"/>
      <c r="N253" s="61" t="n"/>
    </row>
    <row r="254">
      <c r="A254" s="60" t="n"/>
      <c r="B254" s="61" t="n"/>
      <c r="C254" s="61" t="n"/>
      <c r="D254" s="61" t="n"/>
      <c r="E254" s="61" t="n"/>
      <c r="F254" s="62" t="n"/>
      <c r="G254" s="63">
        <f>IF(A254="","",Settings!$B$4)</f>
        <v/>
      </c>
      <c r="H254" s="62">
        <f>IF(F254="","",IF(J254="Yes",ROUND(F254*G254,2),0))</f>
        <v/>
      </c>
      <c r="I254" s="62">
        <f>IF(F254="","",F254+ROUND(F254*G254,2))</f>
        <v/>
      </c>
      <c r="J254" s="61" t="n"/>
      <c r="K254" s="64">
        <f>IF(A254="","",DATE(YEAR(A254),MONTH(A254),1))</f>
        <v/>
      </c>
      <c r="L254" s="61" t="n"/>
      <c r="M254" s="65" t="n"/>
      <c r="N254" s="61" t="n"/>
    </row>
    <row r="256">
      <c r="A256" s="58" t="inlineStr">
        <is>
          <t>December 2026 / เดือน Dec</t>
        </is>
      </c>
    </row>
    <row r="257">
      <c r="A257" s="59" t="inlineStr">
        <is>
          <t>วันที่</t>
        </is>
      </c>
      <c r="B257" s="59" t="inlineStr">
        <is>
          <t>เลขที่บิล/ใบกำกับ</t>
        </is>
      </c>
      <c r="C257" s="59" t="inlineStr">
        <is>
          <t>ผู้ขาย</t>
        </is>
      </c>
      <c r="D257" s="59" t="inlineStr">
        <is>
          <t>รายละเอียด</t>
        </is>
      </c>
      <c r="E257" s="59" t="inlineStr">
        <is>
          <t>หมวด</t>
        </is>
      </c>
      <c r="F257" s="59" t="inlineStr">
        <is>
          <t>ยอดก่อน VAT</t>
        </is>
      </c>
      <c r="G257" s="59" t="inlineStr">
        <is>
          <t>อัตรา VAT</t>
        </is>
      </c>
      <c r="H257" s="59" t="inlineStr">
        <is>
          <t>ภาษีซื้อ</t>
        </is>
      </c>
      <c r="I257" s="59" t="inlineStr">
        <is>
          <t>ยอดรวม</t>
        </is>
      </c>
      <c r="J257" s="59" t="inlineStr">
        <is>
          <t>ขอคืน VAT ได้?</t>
        </is>
      </c>
      <c r="K257" s="59" t="inlineStr">
        <is>
          <t>เดือน</t>
        </is>
      </c>
      <c r="L257" s="59" t="inlineStr">
        <is>
          <t>ไฟล์บิล</t>
        </is>
      </c>
      <c r="M257" s="59" t="inlineStr">
        <is>
          <t>OCR Confidence</t>
        </is>
      </c>
      <c r="N257" s="59" t="inlineStr">
        <is>
          <t>หมายเหตุ</t>
        </is>
      </c>
    </row>
    <row r="258">
      <c r="A258" s="60" t="n"/>
      <c r="B258" s="61" t="n"/>
      <c r="C258" s="61" t="n"/>
      <c r="D258" s="61" t="n"/>
      <c r="E258" s="61" t="n"/>
      <c r="F258" s="62" t="n"/>
      <c r="G258" s="63">
        <f>IF(A258="","",Settings!$B$4)</f>
        <v/>
      </c>
      <c r="H258" s="62">
        <f>IF(F258="","",IF(J258="Yes",ROUND(F258*G258,2),0))</f>
        <v/>
      </c>
      <c r="I258" s="62">
        <f>IF(F258="","",F258+ROUND(F258*G258,2))</f>
        <v/>
      </c>
      <c r="J258" s="61" t="n"/>
      <c r="K258" s="64">
        <f>IF(A258="","",DATE(YEAR(A258),MONTH(A258),1))</f>
        <v/>
      </c>
      <c r="L258" s="61" t="n"/>
      <c r="M258" s="65" t="n"/>
      <c r="N258" s="61" t="n"/>
    </row>
    <row r="259">
      <c r="A259" s="60" t="n"/>
      <c r="B259" s="61" t="n"/>
      <c r="C259" s="61" t="n"/>
      <c r="D259" s="61" t="n"/>
      <c r="E259" s="61" t="n"/>
      <c r="F259" s="62" t="n"/>
      <c r="G259" s="63">
        <f>IF(A259="","",Settings!$B$4)</f>
        <v/>
      </c>
      <c r="H259" s="62">
        <f>IF(F259="","",IF(J259="Yes",ROUND(F259*G259,2),0))</f>
        <v/>
      </c>
      <c r="I259" s="62">
        <f>IF(F259="","",F259+ROUND(F259*G259,2))</f>
        <v/>
      </c>
      <c r="J259" s="61" t="n"/>
      <c r="K259" s="64">
        <f>IF(A259="","",DATE(YEAR(A259),MONTH(A259),1))</f>
        <v/>
      </c>
      <c r="L259" s="61" t="n"/>
      <c r="M259" s="65" t="n"/>
      <c r="N259" s="61" t="n"/>
    </row>
    <row r="260">
      <c r="A260" s="60" t="n"/>
      <c r="B260" s="61" t="n"/>
      <c r="C260" s="61" t="n"/>
      <c r="D260" s="61" t="n"/>
      <c r="E260" s="61" t="n"/>
      <c r="F260" s="62" t="n"/>
      <c r="G260" s="63">
        <f>IF(A260="","",Settings!$B$4)</f>
        <v/>
      </c>
      <c r="H260" s="62">
        <f>IF(F260="","",IF(J260="Yes",ROUND(F260*G260,2),0))</f>
        <v/>
      </c>
      <c r="I260" s="62">
        <f>IF(F260="","",F260+ROUND(F260*G260,2))</f>
        <v/>
      </c>
      <c r="J260" s="61" t="n"/>
      <c r="K260" s="64">
        <f>IF(A260="","",DATE(YEAR(A260),MONTH(A260),1))</f>
        <v/>
      </c>
      <c r="L260" s="61" t="n"/>
      <c r="M260" s="65" t="n"/>
      <c r="N260" s="61" t="n"/>
    </row>
    <row r="261">
      <c r="A261" s="60" t="n"/>
      <c r="B261" s="61" t="n"/>
      <c r="C261" s="61" t="n"/>
      <c r="D261" s="61" t="n"/>
      <c r="E261" s="61" t="n"/>
      <c r="F261" s="62" t="n"/>
      <c r="G261" s="63">
        <f>IF(A261="","",Settings!$B$4)</f>
        <v/>
      </c>
      <c r="H261" s="62">
        <f>IF(F261="","",IF(J261="Yes",ROUND(F261*G261,2),0))</f>
        <v/>
      </c>
      <c r="I261" s="62">
        <f>IF(F261="","",F261+ROUND(F261*G261,2))</f>
        <v/>
      </c>
      <c r="J261" s="61" t="n"/>
      <c r="K261" s="64">
        <f>IF(A261="","",DATE(YEAR(A261),MONTH(A261),1))</f>
        <v/>
      </c>
      <c r="L261" s="61" t="n"/>
      <c r="M261" s="65" t="n"/>
      <c r="N261" s="61" t="n"/>
    </row>
    <row r="262">
      <c r="A262" s="60" t="n"/>
      <c r="B262" s="61" t="n"/>
      <c r="C262" s="61" t="n"/>
      <c r="D262" s="61" t="n"/>
      <c r="E262" s="61" t="n"/>
      <c r="F262" s="62" t="n"/>
      <c r="G262" s="63">
        <f>IF(A262="","",Settings!$B$4)</f>
        <v/>
      </c>
      <c r="H262" s="62">
        <f>IF(F262="","",IF(J262="Yes",ROUND(F262*G262,2),0))</f>
        <v/>
      </c>
      <c r="I262" s="62">
        <f>IF(F262="","",F262+ROUND(F262*G262,2))</f>
        <v/>
      </c>
      <c r="J262" s="61" t="n"/>
      <c r="K262" s="64">
        <f>IF(A262="","",DATE(YEAR(A262),MONTH(A262),1))</f>
        <v/>
      </c>
      <c r="L262" s="61" t="n"/>
      <c r="M262" s="65" t="n"/>
      <c r="N262" s="61" t="n"/>
    </row>
    <row r="263">
      <c r="A263" s="60" t="n"/>
      <c r="B263" s="61" t="n"/>
      <c r="C263" s="61" t="n"/>
      <c r="D263" s="61" t="n"/>
      <c r="E263" s="61" t="n"/>
      <c r="F263" s="62" t="n"/>
      <c r="G263" s="63">
        <f>IF(A263="","",Settings!$B$4)</f>
        <v/>
      </c>
      <c r="H263" s="62">
        <f>IF(F263="","",IF(J263="Yes",ROUND(F263*G263,2),0))</f>
        <v/>
      </c>
      <c r="I263" s="62">
        <f>IF(F263="","",F263+ROUND(F263*G263,2))</f>
        <v/>
      </c>
      <c r="J263" s="61" t="n"/>
      <c r="K263" s="64">
        <f>IF(A263="","",DATE(YEAR(A263),MONTH(A263),1))</f>
        <v/>
      </c>
      <c r="L263" s="61" t="n"/>
      <c r="M263" s="65" t="n"/>
      <c r="N263" s="61" t="n"/>
    </row>
    <row r="264">
      <c r="A264" s="60" t="n"/>
      <c r="B264" s="61" t="n"/>
      <c r="C264" s="61" t="n"/>
      <c r="D264" s="61" t="n"/>
      <c r="E264" s="61" t="n"/>
      <c r="F264" s="62" t="n"/>
      <c r="G264" s="63">
        <f>IF(A264="","",Settings!$B$4)</f>
        <v/>
      </c>
      <c r="H264" s="62">
        <f>IF(F264="","",IF(J264="Yes",ROUND(F264*G264,2),0))</f>
        <v/>
      </c>
      <c r="I264" s="62">
        <f>IF(F264="","",F264+ROUND(F264*G264,2))</f>
        <v/>
      </c>
      <c r="J264" s="61" t="n"/>
      <c r="K264" s="64">
        <f>IF(A264="","",DATE(YEAR(A264),MONTH(A264),1))</f>
        <v/>
      </c>
      <c r="L264" s="61" t="n"/>
      <c r="M264" s="65" t="n"/>
      <c r="N264" s="61" t="n"/>
    </row>
    <row r="265">
      <c r="A265" s="60" t="n"/>
      <c r="B265" s="61" t="n"/>
      <c r="C265" s="61" t="n"/>
      <c r="D265" s="61" t="n"/>
      <c r="E265" s="61" t="n"/>
      <c r="F265" s="62" t="n"/>
      <c r="G265" s="63">
        <f>IF(A265="","",Settings!$B$4)</f>
        <v/>
      </c>
      <c r="H265" s="62">
        <f>IF(F265="","",IF(J265="Yes",ROUND(F265*G265,2),0))</f>
        <v/>
      </c>
      <c r="I265" s="62">
        <f>IF(F265="","",F265+ROUND(F265*G265,2))</f>
        <v/>
      </c>
      <c r="J265" s="61" t="n"/>
      <c r="K265" s="64">
        <f>IF(A265="","",DATE(YEAR(A265),MONTH(A265),1))</f>
        <v/>
      </c>
      <c r="L265" s="61" t="n"/>
      <c r="M265" s="65" t="n"/>
      <c r="N265" s="61" t="n"/>
    </row>
    <row r="266">
      <c r="A266" s="60" t="n"/>
      <c r="B266" s="61" t="n"/>
      <c r="C266" s="61" t="n"/>
      <c r="D266" s="61" t="n"/>
      <c r="E266" s="61" t="n"/>
      <c r="F266" s="62" t="n"/>
      <c r="G266" s="63">
        <f>IF(A266="","",Settings!$B$4)</f>
        <v/>
      </c>
      <c r="H266" s="62">
        <f>IF(F266="","",IF(J266="Yes",ROUND(F266*G266,2),0))</f>
        <v/>
      </c>
      <c r="I266" s="62">
        <f>IF(F266="","",F266+ROUND(F266*G266,2))</f>
        <v/>
      </c>
      <c r="J266" s="61" t="n"/>
      <c r="K266" s="64">
        <f>IF(A266="","",DATE(YEAR(A266),MONTH(A266),1))</f>
        <v/>
      </c>
      <c r="L266" s="61" t="n"/>
      <c r="M266" s="65" t="n"/>
      <c r="N266" s="61" t="n"/>
    </row>
    <row r="267">
      <c r="A267" s="60" t="n"/>
      <c r="B267" s="61" t="n"/>
      <c r="C267" s="61" t="n"/>
      <c r="D267" s="61" t="n"/>
      <c r="E267" s="61" t="n"/>
      <c r="F267" s="62" t="n"/>
      <c r="G267" s="63">
        <f>IF(A267="","",Settings!$B$4)</f>
        <v/>
      </c>
      <c r="H267" s="62">
        <f>IF(F267="","",IF(J267="Yes",ROUND(F267*G267,2),0))</f>
        <v/>
      </c>
      <c r="I267" s="62">
        <f>IF(F267="","",F267+ROUND(F267*G267,2))</f>
        <v/>
      </c>
      <c r="J267" s="61" t="n"/>
      <c r="K267" s="64">
        <f>IF(A267="","",DATE(YEAR(A267),MONTH(A267),1))</f>
        <v/>
      </c>
      <c r="L267" s="61" t="n"/>
      <c r="M267" s="65" t="n"/>
      <c r="N267" s="61" t="n"/>
    </row>
    <row r="268">
      <c r="A268" s="60" t="n"/>
      <c r="B268" s="61" t="n"/>
      <c r="C268" s="61" t="n"/>
      <c r="D268" s="61" t="n"/>
      <c r="E268" s="61" t="n"/>
      <c r="F268" s="62" t="n"/>
      <c r="G268" s="63">
        <f>IF(A268="","",Settings!$B$4)</f>
        <v/>
      </c>
      <c r="H268" s="62">
        <f>IF(F268="","",IF(J268="Yes",ROUND(F268*G268,2),0))</f>
        <v/>
      </c>
      <c r="I268" s="62">
        <f>IF(F268="","",F268+ROUND(F268*G268,2))</f>
        <v/>
      </c>
      <c r="J268" s="61" t="n"/>
      <c r="K268" s="64">
        <f>IF(A268="","",DATE(YEAR(A268),MONTH(A268),1))</f>
        <v/>
      </c>
      <c r="L268" s="61" t="n"/>
      <c r="M268" s="65" t="n"/>
      <c r="N268" s="61" t="n"/>
    </row>
    <row r="269">
      <c r="A269" s="60" t="n"/>
      <c r="B269" s="61" t="n"/>
      <c r="C269" s="61" t="n"/>
      <c r="D269" s="61" t="n"/>
      <c r="E269" s="61" t="n"/>
      <c r="F269" s="62" t="n"/>
      <c r="G269" s="63">
        <f>IF(A269="","",Settings!$B$4)</f>
        <v/>
      </c>
      <c r="H269" s="62">
        <f>IF(F269="","",IF(J269="Yes",ROUND(F269*G269,2),0))</f>
        <v/>
      </c>
      <c r="I269" s="62">
        <f>IF(F269="","",F269+ROUND(F269*G269,2))</f>
        <v/>
      </c>
      <c r="J269" s="61" t="n"/>
      <c r="K269" s="64">
        <f>IF(A269="","",DATE(YEAR(A269),MONTH(A269),1))</f>
        <v/>
      </c>
      <c r="L269" s="61" t="n"/>
      <c r="M269" s="65" t="n"/>
      <c r="N269" s="61" t="n"/>
    </row>
    <row r="270">
      <c r="A270" s="60" t="n"/>
      <c r="B270" s="61" t="n"/>
      <c r="C270" s="61" t="n"/>
      <c r="D270" s="61" t="n"/>
      <c r="E270" s="61" t="n"/>
      <c r="F270" s="62" t="n"/>
      <c r="G270" s="63">
        <f>IF(A270="","",Settings!$B$4)</f>
        <v/>
      </c>
      <c r="H270" s="62">
        <f>IF(F270="","",IF(J270="Yes",ROUND(F270*G270,2),0))</f>
        <v/>
      </c>
      <c r="I270" s="62">
        <f>IF(F270="","",F270+ROUND(F270*G270,2))</f>
        <v/>
      </c>
      <c r="J270" s="61" t="n"/>
      <c r="K270" s="64">
        <f>IF(A270="","",DATE(YEAR(A270),MONTH(A270),1))</f>
        <v/>
      </c>
      <c r="L270" s="61" t="n"/>
      <c r="M270" s="65" t="n"/>
      <c r="N270" s="61" t="n"/>
    </row>
    <row r="271">
      <c r="A271" s="60" t="n"/>
      <c r="B271" s="61" t="n"/>
      <c r="C271" s="61" t="n"/>
      <c r="D271" s="61" t="n"/>
      <c r="E271" s="61" t="n"/>
      <c r="F271" s="62" t="n"/>
      <c r="G271" s="63">
        <f>IF(A271="","",Settings!$B$4)</f>
        <v/>
      </c>
      <c r="H271" s="62">
        <f>IF(F271="","",IF(J271="Yes",ROUND(F271*G271,2),0))</f>
        <v/>
      </c>
      <c r="I271" s="62">
        <f>IF(F271="","",F271+ROUND(F271*G271,2))</f>
        <v/>
      </c>
      <c r="J271" s="61" t="n"/>
      <c r="K271" s="64">
        <f>IF(A271="","",DATE(YEAR(A271),MONTH(A271),1))</f>
        <v/>
      </c>
      <c r="L271" s="61" t="n"/>
      <c r="M271" s="65" t="n"/>
      <c r="N271" s="61" t="n"/>
    </row>
    <row r="272">
      <c r="A272" s="60" t="n"/>
      <c r="B272" s="61" t="n"/>
      <c r="C272" s="61" t="n"/>
      <c r="D272" s="61" t="n"/>
      <c r="E272" s="61" t="n"/>
      <c r="F272" s="62" t="n"/>
      <c r="G272" s="63">
        <f>IF(A272="","",Settings!$B$4)</f>
        <v/>
      </c>
      <c r="H272" s="62">
        <f>IF(F272="","",IF(J272="Yes",ROUND(F272*G272,2),0))</f>
        <v/>
      </c>
      <c r="I272" s="62">
        <f>IF(F272="","",F272+ROUND(F272*G272,2))</f>
        <v/>
      </c>
      <c r="J272" s="61" t="n"/>
      <c r="K272" s="64">
        <f>IF(A272="","",DATE(YEAR(A272),MONTH(A272),1))</f>
        <v/>
      </c>
      <c r="L272" s="61" t="n"/>
      <c r="M272" s="65" t="n"/>
      <c r="N272" s="61" t="n"/>
    </row>
    <row r="273">
      <c r="A273" s="60" t="n"/>
      <c r="B273" s="61" t="n"/>
      <c r="C273" s="61" t="n"/>
      <c r="D273" s="61" t="n"/>
      <c r="E273" s="61" t="n"/>
      <c r="F273" s="62" t="n"/>
      <c r="G273" s="63">
        <f>IF(A273="","",Settings!$B$4)</f>
        <v/>
      </c>
      <c r="H273" s="62">
        <f>IF(F273="","",IF(J273="Yes",ROUND(F273*G273,2),0))</f>
        <v/>
      </c>
      <c r="I273" s="62">
        <f>IF(F273="","",F273+ROUND(F273*G273,2))</f>
        <v/>
      </c>
      <c r="J273" s="61" t="n"/>
      <c r="K273" s="64">
        <f>IF(A273="","",DATE(YEAR(A273),MONTH(A273),1))</f>
        <v/>
      </c>
      <c r="L273" s="61" t="n"/>
      <c r="M273" s="65" t="n"/>
      <c r="N273" s="61" t="n"/>
    </row>
    <row r="274">
      <c r="A274" s="60" t="n"/>
      <c r="B274" s="61" t="n"/>
      <c r="C274" s="61" t="n"/>
      <c r="D274" s="61" t="n"/>
      <c r="E274" s="61" t="n"/>
      <c r="F274" s="62" t="n"/>
      <c r="G274" s="63">
        <f>IF(A274="","",Settings!$B$4)</f>
        <v/>
      </c>
      <c r="H274" s="62">
        <f>IF(F274="","",IF(J274="Yes",ROUND(F274*G274,2),0))</f>
        <v/>
      </c>
      <c r="I274" s="62">
        <f>IF(F274="","",F274+ROUND(F274*G274,2))</f>
        <v/>
      </c>
      <c r="J274" s="61" t="n"/>
      <c r="K274" s="64">
        <f>IF(A274="","",DATE(YEAR(A274),MONTH(A274),1))</f>
        <v/>
      </c>
      <c r="L274" s="61" t="n"/>
      <c r="M274" s="65" t="n"/>
      <c r="N274" s="61" t="n"/>
    </row>
    <row r="275">
      <c r="A275" s="60" t="n"/>
      <c r="B275" s="61" t="n"/>
      <c r="C275" s="61" t="n"/>
      <c r="D275" s="61" t="n"/>
      <c r="E275" s="61" t="n"/>
      <c r="F275" s="62" t="n"/>
      <c r="G275" s="63">
        <f>IF(A275="","",Settings!$B$4)</f>
        <v/>
      </c>
      <c r="H275" s="62">
        <f>IF(F275="","",IF(J275="Yes",ROUND(F275*G275,2),0))</f>
        <v/>
      </c>
      <c r="I275" s="62">
        <f>IF(F275="","",F275+ROUND(F275*G275,2))</f>
        <v/>
      </c>
      <c r="J275" s="61" t="n"/>
      <c r="K275" s="64">
        <f>IF(A275="","",DATE(YEAR(A275),MONTH(A275),1))</f>
        <v/>
      </c>
      <c r="L275" s="61" t="n"/>
      <c r="M275" s="65" t="n"/>
      <c r="N275" s="61" t="n"/>
    </row>
    <row r="276">
      <c r="A276" s="60" t="n"/>
      <c r="B276" s="61" t="n"/>
      <c r="C276" s="61" t="n"/>
      <c r="D276" s="61" t="n"/>
      <c r="E276" s="61" t="n"/>
      <c r="F276" s="62" t="n"/>
      <c r="G276" s="63">
        <f>IF(A276="","",Settings!$B$4)</f>
        <v/>
      </c>
      <c r="H276" s="62">
        <f>IF(F276="","",IF(J276="Yes",ROUND(F276*G276,2),0))</f>
        <v/>
      </c>
      <c r="I276" s="62">
        <f>IF(F276="","",F276+ROUND(F276*G276,2))</f>
        <v/>
      </c>
      <c r="J276" s="61" t="n"/>
      <c r="K276" s="64">
        <f>IF(A276="","",DATE(YEAR(A276),MONTH(A276),1))</f>
        <v/>
      </c>
      <c r="L276" s="61" t="n"/>
      <c r="M276" s="65" t="n"/>
      <c r="N276" s="61" t="n"/>
    </row>
    <row r="277">
      <c r="A277" s="60" t="n"/>
      <c r="B277" s="61" t="n"/>
      <c r="C277" s="61" t="n"/>
      <c r="D277" s="61" t="n"/>
      <c r="E277" s="61" t="n"/>
      <c r="F277" s="62" t="n"/>
      <c r="G277" s="63">
        <f>IF(A277="","",Settings!$B$4)</f>
        <v/>
      </c>
      <c r="H277" s="62">
        <f>IF(F277="","",IF(J277="Yes",ROUND(F277*G277,2),0))</f>
        <v/>
      </c>
      <c r="I277" s="62">
        <f>IF(F277="","",F277+ROUND(F277*G277,2))</f>
        <v/>
      </c>
      <c r="J277" s="61" t="n"/>
      <c r="K277" s="64">
        <f>IF(A277="","",DATE(YEAR(A277),MONTH(A277),1))</f>
        <v/>
      </c>
      <c r="L277" s="61" t="n"/>
      <c r="M277" s="65" t="n"/>
      <c r="N277" s="61" t="n"/>
    </row>
  </sheetData>
  <mergeCells count="13">
    <mergeCell ref="A3:N3"/>
    <mergeCell ref="A26:N26"/>
    <mergeCell ref="A256:N256"/>
    <mergeCell ref="A187:N187"/>
    <mergeCell ref="A72:N72"/>
    <mergeCell ref="A210:N210"/>
    <mergeCell ref="A233:N233"/>
    <mergeCell ref="A95:N95"/>
    <mergeCell ref="A49:N49"/>
    <mergeCell ref="A118:N118"/>
    <mergeCell ref="A164:N164"/>
    <mergeCell ref="A141:N141"/>
    <mergeCell ref="A1:N1"/>
  </mergeCells>
  <dataValidations count="2">
    <dataValidation sqref="J5 J6 J7 J8 J9 J10 J11 J12 J13 J14 J15 J16 J17 J18 J19 J20 J21 J22 J23 J24 J28 J29 J30 J31 J32 J33 J34 J35 J36 J37 J38 J39 J40 J41 J42 J43 J44 J45 J46 J47 J51 J52 J53 J54 J55 J56 J57 J58 J59 J60 J61 J62 J63 J64 J65 J66 J67 J68 J69 J70 J74 J75 J76 J77 J78 J79 J80 J81 J82 J83 J84 J85 J86 J87 J88 J89 J90 J91 J92 J93 J97 J98 J99 J100 J101 J102 J103 J104 J105 J106 J107 J108 J109 J110 J111 J112 J113 J114 J115 J116 J120 J121 J122 J123 J124 J125 J126 J127 J128 J129 J130 J131 J132 J133 J134 J135 J136 J137 J138 J139 J143 J144 J145 J146 J147 J148 J149 J150 J151 J152 J153 J154 J155 J156 J157 J158 J159 J160 J161 J162 J166 J167 J168 J169 J170 J171 J172 J173 J174 J175 J176 J177 J178 J179 J180 J181 J182 J183 J184 J185 J189 J190 J191 J192 J193 J194 J195 J196 J197 J198 J199 J200 J201 J202 J203 J204 J205 J206 J207 J208 J212 J213 J214 J215 J216 J217 J218 J219 J220 J221 J222 J223 J224 J225 J226 J227 J228 J229 J230 J231 J235 J236 J237 J238 J239 J240 J241 J242 J243 J244 J245 J246 J247 J248 J249 J250 J251 J252 J253 J254 J258 J259 J260 J261 J262 J263 J264 J265 J266 J267 J268 J269 J270 J271 J272 J273 J274 J275 J276 J277" showDropDown="0" showInputMessage="0" showErrorMessage="0" allowBlank="1" type="list">
      <formula1>"Yes,No"</formula1>
    </dataValidation>
    <dataValidation sqref="E5 E6 E7 E8 E9 E10 E11 E12 E13 E14 E15 E16 E17 E18 E19 E20 E21 E22 E23 E24 E28 E29 E30 E31 E32 E33 E34 E35 E36 E37 E38 E39 E40 E41 E42 E43 E44 E45 E46 E47 E51 E52 E53 E54 E55 E56 E57 E58 E59 E60 E61 E62 E63 E64 E65 E66 E67 E68 E69 E70 E74 E75 E76 E77 E78 E79 E80 E81 E82 E83 E84 E85 E86 E87 E88 E89 E90 E91 E92 E93 E97 E98 E99 E100 E101 E102 E103 E104 E105 E106 E107 E108 E109 E110 E111 E112 E113 E114 E115 E116 E120 E121 E122 E123 E124 E125 E126 E127 E128 E129 E130 E131 E132 E133 E134 E135 E136 E137 E138 E139 E143 E144 E145 E146 E147 E148 E149 E150 E151 E152 E153 E154 E155 E156 E157 E158 E159 E160 E161 E162 E166 E167 E168 E169 E170 E171 E172 E173 E174 E175 E176 E177 E178 E179 E180 E181 E182 E183 E184 E185 E189 E190 E191 E192 E193 E194 E195 E196 E197 E198 E199 E200 E201 E202 E203 E204 E205 E206 E207 E208 E212 E213 E214 E215 E216 E217 E218 E219 E220 E221 E222 E223 E224 E225 E226 E227 E228 E229 E230 E231 E235 E236 E237 E238 E239 E240 E241 E242 E243 E244 E245 E246 E247 E248 E249 E250 E251 E252 E253 E254 E258 E259 E260 E261 E262 E263 E264 E265 E266 E267 E268 E269 E270 E271 E272 E273 E274 E275 E276 E277" showDropDown="0" showInputMessage="0" showErrorMessage="0" allowBlank="1" type="list">
      <formula1>Settings!$A$12:$A$19</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11.88000011444092" customWidth="1" min="1" max="1"/>
    <col width="16.25" customWidth="1" min="2" max="2"/>
    <col width="13.13000011444092" customWidth="1" min="3" max="3"/>
    <col width="17.5" customWidth="1" min="4" max="4"/>
    <col width="13.13000011444092" customWidth="1" min="5" max="5"/>
    <col width="14.38000011444092" customWidth="1" min="6" max="6"/>
    <col width="17.5" customWidth="1" min="7" max="7"/>
    <col width="15" customWidth="1" min="8" max="8"/>
    <col width="14.38000011444092" customWidth="1" min="9" max="9"/>
    <col width="16.8799991607666" customWidth="1" min="10" max="10"/>
  </cols>
  <sheetData>
    <row r="1" ht="25.5" customHeight="1">
      <c r="A1" s="4" t="inlineStr">
        <is>
          <t>สรุป VAT รายเดือน</t>
        </is>
      </c>
    </row>
    <row r="3">
      <c r="A3" s="10" t="inlineStr">
        <is>
          <t>เดือน</t>
        </is>
      </c>
      <c r="B3" s="10" t="inlineStr">
        <is>
          <t>รายรับก่อน VAT</t>
        </is>
      </c>
      <c r="C3" s="10" t="inlineStr">
        <is>
          <t>ภาษีขาย</t>
        </is>
      </c>
      <c r="D3" s="10" t="inlineStr">
        <is>
          <t>ค่าใช้จ่ายก่อน VAT</t>
        </is>
      </c>
      <c r="E3" s="10" t="inlineStr">
        <is>
          <t>ภาษีซื้อ</t>
        </is>
      </c>
      <c r="F3" s="10" t="inlineStr">
        <is>
          <t>รายรับสุทธิ</t>
        </is>
      </c>
      <c r="G3" s="10" t="inlineStr">
        <is>
          <t>VAT ต้องจ่าย/(ขอคืน)</t>
        </is>
      </c>
      <c r="H3" s="10" t="inlineStr">
        <is>
          <t>สถานะ</t>
        </is>
      </c>
      <c r="I3" s="10" t="inlineStr">
        <is>
          <t>จำนวนรายการรายรับ</t>
        </is>
      </c>
      <c r="J3" s="10" t="inlineStr">
        <is>
          <t>จำนวนรายการค่าใช้จ่าย</t>
        </is>
      </c>
    </row>
    <row r="4">
      <c r="A4" s="47" t="n">
        <v>46023</v>
      </c>
      <c r="B4" s="48">
        <f>SUMIFS(Transactions_12M!$G$5:$G$412,Transactions_12M!$L$5:$L$412,A4,Transactions_12M!$B$5:$B$412,"Revenue")</f>
        <v/>
      </c>
      <c r="C4" s="48">
        <f>SUMIFS(Transactions_12M!$I$5:$I$412,Transactions_12M!$L$5:$L$412,A4,Transactions_12M!$B$5:$B$412,"Revenue")</f>
        <v/>
      </c>
      <c r="D4" s="48">
        <f>SUMIFS(Transactions_12M!$G$5:$G$412,Transactions_12M!$L$5:$L$412,A4,Transactions_12M!$B$5:$B$412,"Expense")</f>
        <v/>
      </c>
      <c r="E4" s="48">
        <f>SUMIFS(Transactions_12M!$I$5:$I$412,Transactions_12M!$L$5:$L$412,A4,Transactions_12M!$B$5:$B$412,"Expense",Transactions_12M!$K$5:$K$412,"Yes")</f>
        <v/>
      </c>
      <c r="F4" s="48">
        <f>B4-D4</f>
        <v/>
      </c>
      <c r="G4" s="48">
        <f>C4-E4</f>
        <v/>
      </c>
      <c r="H4" s="14">
        <f>IF(G4&gt;0,"ต้องจ่าย",IF(G4&lt;0,"ขอคืน/เครดิต","ไม่มี VAT สุทธิ"))</f>
        <v/>
      </c>
      <c r="I4" s="14">
        <f>COUNTIFS(Transactions_12M!$L$5:$L$412,A4,Transactions_12M!$B$5:$B$412,"Revenue")</f>
        <v/>
      </c>
      <c r="J4" s="14">
        <f>COUNTIFS(Transactions_12M!$L$5:$L$412,A4,Transactions_12M!$B$5:$B$412,"Expense")</f>
        <v/>
      </c>
    </row>
    <row r="5">
      <c r="A5" s="47" t="n">
        <v>46054</v>
      </c>
      <c r="B5" s="48">
        <f>SUMIFS(Transactions_12M!$G$5:$G$412,Transactions_12M!$L$5:$L$412,A5,Transactions_12M!$B$5:$B$412,"Revenue")</f>
        <v/>
      </c>
      <c r="C5" s="48">
        <f>SUMIFS(Transactions_12M!$I$5:$I$412,Transactions_12M!$L$5:$L$412,A5,Transactions_12M!$B$5:$B$412,"Revenue")</f>
        <v/>
      </c>
      <c r="D5" s="48">
        <f>SUMIFS(Transactions_12M!$G$5:$G$412,Transactions_12M!$L$5:$L$412,A5,Transactions_12M!$B$5:$B$412,"Expense")</f>
        <v/>
      </c>
      <c r="E5" s="48">
        <f>SUMIFS(Transactions_12M!$I$5:$I$412,Transactions_12M!$L$5:$L$412,A5,Transactions_12M!$B$5:$B$412,"Expense",Transactions_12M!$K$5:$K$412,"Yes")</f>
        <v/>
      </c>
      <c r="F5" s="48">
        <f>B5-D5</f>
        <v/>
      </c>
      <c r="G5" s="48">
        <f>C5-E5</f>
        <v/>
      </c>
      <c r="H5" s="14">
        <f>IF(G5&gt;0,"ต้องจ่าย",IF(G5&lt;0,"ขอคืน/เครดิต","ไม่มี VAT สุทธิ"))</f>
        <v/>
      </c>
      <c r="I5" s="14">
        <f>COUNTIFS(Transactions_12M!$L$5:$L$412,A5,Transactions_12M!$B$5:$B$412,"Revenue")</f>
        <v/>
      </c>
      <c r="J5" s="14">
        <f>COUNTIFS(Transactions_12M!$L$5:$L$412,A5,Transactions_12M!$B$5:$B$412,"Expense")</f>
        <v/>
      </c>
    </row>
    <row r="6">
      <c r="A6" s="47" t="n">
        <v>46082</v>
      </c>
      <c r="B6" s="48">
        <f>SUMIFS(Transactions_12M!$G$5:$G$412,Transactions_12M!$L$5:$L$412,A6,Transactions_12M!$B$5:$B$412,"Revenue")</f>
        <v/>
      </c>
      <c r="C6" s="48">
        <f>SUMIFS(Transactions_12M!$I$5:$I$412,Transactions_12M!$L$5:$L$412,A6,Transactions_12M!$B$5:$B$412,"Revenue")</f>
        <v/>
      </c>
      <c r="D6" s="48">
        <f>SUMIFS(Transactions_12M!$G$5:$G$412,Transactions_12M!$L$5:$L$412,A6,Transactions_12M!$B$5:$B$412,"Expense")</f>
        <v/>
      </c>
      <c r="E6" s="48">
        <f>SUMIFS(Transactions_12M!$I$5:$I$412,Transactions_12M!$L$5:$L$412,A6,Transactions_12M!$B$5:$B$412,"Expense",Transactions_12M!$K$5:$K$412,"Yes")</f>
        <v/>
      </c>
      <c r="F6" s="48">
        <f>B6-D6</f>
        <v/>
      </c>
      <c r="G6" s="48">
        <f>C6-E6</f>
        <v/>
      </c>
      <c r="H6" s="14">
        <f>IF(G6&gt;0,"ต้องจ่าย",IF(G6&lt;0,"ขอคืน/เครดิต","ไม่มี VAT สุทธิ"))</f>
        <v/>
      </c>
      <c r="I6" s="14">
        <f>COUNTIFS(Transactions_12M!$L$5:$L$412,A6,Transactions_12M!$B$5:$B$412,"Revenue")</f>
        <v/>
      </c>
      <c r="J6" s="14">
        <f>COUNTIFS(Transactions_12M!$L$5:$L$412,A6,Transactions_12M!$B$5:$B$412,"Expense")</f>
        <v/>
      </c>
    </row>
    <row r="7">
      <c r="A7" s="47" t="n">
        <v>46113</v>
      </c>
      <c r="B7" s="48">
        <f>SUMIFS(Transactions_12M!$G$5:$G$412,Transactions_12M!$L$5:$L$412,A7,Transactions_12M!$B$5:$B$412,"Revenue")</f>
        <v/>
      </c>
      <c r="C7" s="48">
        <f>SUMIFS(Transactions_12M!$I$5:$I$412,Transactions_12M!$L$5:$L$412,A7,Transactions_12M!$B$5:$B$412,"Revenue")</f>
        <v/>
      </c>
      <c r="D7" s="48">
        <f>SUMIFS(Transactions_12M!$G$5:$G$412,Transactions_12M!$L$5:$L$412,A7,Transactions_12M!$B$5:$B$412,"Expense")</f>
        <v/>
      </c>
      <c r="E7" s="48">
        <f>SUMIFS(Transactions_12M!$I$5:$I$412,Transactions_12M!$L$5:$L$412,A7,Transactions_12M!$B$5:$B$412,"Expense",Transactions_12M!$K$5:$K$412,"Yes")</f>
        <v/>
      </c>
      <c r="F7" s="48">
        <f>B7-D7</f>
        <v/>
      </c>
      <c r="G7" s="48">
        <f>C7-E7</f>
        <v/>
      </c>
      <c r="H7" s="14">
        <f>IF(G7&gt;0,"ต้องจ่าย",IF(G7&lt;0,"ขอคืน/เครดิต","ไม่มี VAT สุทธิ"))</f>
        <v/>
      </c>
      <c r="I7" s="14">
        <f>COUNTIFS(Transactions_12M!$L$5:$L$412,A7,Transactions_12M!$B$5:$B$412,"Revenue")</f>
        <v/>
      </c>
      <c r="J7" s="14">
        <f>COUNTIFS(Transactions_12M!$L$5:$L$412,A7,Transactions_12M!$B$5:$B$412,"Expense")</f>
        <v/>
      </c>
    </row>
    <row r="8">
      <c r="A8" s="47" t="n">
        <v>46143</v>
      </c>
      <c r="B8" s="48">
        <f>SUMIFS(Transactions_12M!$G$5:$G$412,Transactions_12M!$L$5:$L$412,A8,Transactions_12M!$B$5:$B$412,"Revenue")</f>
        <v/>
      </c>
      <c r="C8" s="48">
        <f>SUMIFS(Transactions_12M!$I$5:$I$412,Transactions_12M!$L$5:$L$412,A8,Transactions_12M!$B$5:$B$412,"Revenue")</f>
        <v/>
      </c>
      <c r="D8" s="48">
        <f>SUMIFS(Transactions_12M!$G$5:$G$412,Transactions_12M!$L$5:$L$412,A8,Transactions_12M!$B$5:$B$412,"Expense")</f>
        <v/>
      </c>
      <c r="E8" s="48">
        <f>SUMIFS(Transactions_12M!$I$5:$I$412,Transactions_12M!$L$5:$L$412,A8,Transactions_12M!$B$5:$B$412,"Expense",Transactions_12M!$K$5:$K$412,"Yes")</f>
        <v/>
      </c>
      <c r="F8" s="48">
        <f>B8-D8</f>
        <v/>
      </c>
      <c r="G8" s="48">
        <f>C8-E8</f>
        <v/>
      </c>
      <c r="H8" s="14">
        <f>IF(G8&gt;0,"ต้องจ่าย",IF(G8&lt;0,"ขอคืน/เครดิต","ไม่มี VAT สุทธิ"))</f>
        <v/>
      </c>
      <c r="I8" s="14">
        <f>COUNTIFS(Transactions_12M!$L$5:$L$412,A8,Transactions_12M!$B$5:$B$412,"Revenue")</f>
        <v/>
      </c>
      <c r="J8" s="14">
        <f>COUNTIFS(Transactions_12M!$L$5:$L$412,A8,Transactions_12M!$B$5:$B$412,"Expense")</f>
        <v/>
      </c>
    </row>
    <row r="9">
      <c r="A9" s="47" t="n">
        <v>46174</v>
      </c>
      <c r="B9" s="48">
        <f>SUMIFS(Transactions_12M!$G$5:$G$412,Transactions_12M!$L$5:$L$412,A9,Transactions_12M!$B$5:$B$412,"Revenue")</f>
        <v/>
      </c>
      <c r="C9" s="48">
        <f>SUMIFS(Transactions_12M!$I$5:$I$412,Transactions_12M!$L$5:$L$412,A9,Transactions_12M!$B$5:$B$412,"Revenue")</f>
        <v/>
      </c>
      <c r="D9" s="48">
        <f>SUMIFS(Transactions_12M!$G$5:$G$412,Transactions_12M!$L$5:$L$412,A9,Transactions_12M!$B$5:$B$412,"Expense")</f>
        <v/>
      </c>
      <c r="E9" s="48">
        <f>SUMIFS(Transactions_12M!$I$5:$I$412,Transactions_12M!$L$5:$L$412,A9,Transactions_12M!$B$5:$B$412,"Expense",Transactions_12M!$K$5:$K$412,"Yes")</f>
        <v/>
      </c>
      <c r="F9" s="48">
        <f>B9-D9</f>
        <v/>
      </c>
      <c r="G9" s="48">
        <f>C9-E9</f>
        <v/>
      </c>
      <c r="H9" s="14">
        <f>IF(G9&gt;0,"ต้องจ่าย",IF(G9&lt;0,"ขอคืน/เครดิต","ไม่มี VAT สุทธิ"))</f>
        <v/>
      </c>
      <c r="I9" s="14">
        <f>COUNTIFS(Transactions_12M!$L$5:$L$412,A9,Transactions_12M!$B$5:$B$412,"Revenue")</f>
        <v/>
      </c>
      <c r="J9" s="14">
        <f>COUNTIFS(Transactions_12M!$L$5:$L$412,A9,Transactions_12M!$B$5:$B$412,"Expense")</f>
        <v/>
      </c>
    </row>
    <row r="10">
      <c r="A10" s="47" t="n">
        <v>46204</v>
      </c>
      <c r="B10" s="48">
        <f>SUMIFS(Transactions_12M!$G$5:$G$412,Transactions_12M!$L$5:$L$412,A10,Transactions_12M!$B$5:$B$412,"Revenue")</f>
        <v/>
      </c>
      <c r="C10" s="48">
        <f>SUMIFS(Transactions_12M!$I$5:$I$412,Transactions_12M!$L$5:$L$412,A10,Transactions_12M!$B$5:$B$412,"Revenue")</f>
        <v/>
      </c>
      <c r="D10" s="48">
        <f>SUMIFS(Transactions_12M!$G$5:$G$412,Transactions_12M!$L$5:$L$412,A10,Transactions_12M!$B$5:$B$412,"Expense")</f>
        <v/>
      </c>
      <c r="E10" s="48">
        <f>SUMIFS(Transactions_12M!$I$5:$I$412,Transactions_12M!$L$5:$L$412,A10,Transactions_12M!$B$5:$B$412,"Expense",Transactions_12M!$K$5:$K$412,"Yes")</f>
        <v/>
      </c>
      <c r="F10" s="48">
        <f>B10-D10</f>
        <v/>
      </c>
      <c r="G10" s="48">
        <f>C10-E10</f>
        <v/>
      </c>
      <c r="H10" s="14">
        <f>IF(G10&gt;0,"ต้องจ่าย",IF(G10&lt;0,"ขอคืน/เครดิต","ไม่มี VAT สุทธิ"))</f>
        <v/>
      </c>
      <c r="I10" s="14">
        <f>COUNTIFS(Transactions_12M!$L$5:$L$412,A10,Transactions_12M!$B$5:$B$412,"Revenue")</f>
        <v/>
      </c>
      <c r="J10" s="14">
        <f>COUNTIFS(Transactions_12M!$L$5:$L$412,A10,Transactions_12M!$B$5:$B$412,"Expense")</f>
        <v/>
      </c>
    </row>
    <row r="11">
      <c r="A11" s="47" t="n">
        <v>46235</v>
      </c>
      <c r="B11" s="48">
        <f>SUMIFS(Transactions_12M!$G$5:$G$412,Transactions_12M!$L$5:$L$412,A11,Transactions_12M!$B$5:$B$412,"Revenue")</f>
        <v/>
      </c>
      <c r="C11" s="48">
        <f>SUMIFS(Transactions_12M!$I$5:$I$412,Transactions_12M!$L$5:$L$412,A11,Transactions_12M!$B$5:$B$412,"Revenue")</f>
        <v/>
      </c>
      <c r="D11" s="48">
        <f>SUMIFS(Transactions_12M!$G$5:$G$412,Transactions_12M!$L$5:$L$412,A11,Transactions_12M!$B$5:$B$412,"Expense")</f>
        <v/>
      </c>
      <c r="E11" s="48">
        <f>SUMIFS(Transactions_12M!$I$5:$I$412,Transactions_12M!$L$5:$L$412,A11,Transactions_12M!$B$5:$B$412,"Expense",Transactions_12M!$K$5:$K$412,"Yes")</f>
        <v/>
      </c>
      <c r="F11" s="48">
        <f>B11-D11</f>
        <v/>
      </c>
      <c r="G11" s="48">
        <f>C11-E11</f>
        <v/>
      </c>
      <c r="H11" s="14">
        <f>IF(G11&gt;0,"ต้องจ่าย",IF(G11&lt;0,"ขอคืน/เครดิต","ไม่มี VAT สุทธิ"))</f>
        <v/>
      </c>
      <c r="I11" s="14">
        <f>COUNTIFS(Transactions_12M!$L$5:$L$412,A11,Transactions_12M!$B$5:$B$412,"Revenue")</f>
        <v/>
      </c>
      <c r="J11" s="14">
        <f>COUNTIFS(Transactions_12M!$L$5:$L$412,A11,Transactions_12M!$B$5:$B$412,"Expense")</f>
        <v/>
      </c>
    </row>
    <row r="12">
      <c r="A12" s="47" t="n">
        <v>46266</v>
      </c>
      <c r="B12" s="48">
        <f>SUMIFS(Transactions_12M!$G$5:$G$412,Transactions_12M!$L$5:$L$412,A12,Transactions_12M!$B$5:$B$412,"Revenue")</f>
        <v/>
      </c>
      <c r="C12" s="48">
        <f>SUMIFS(Transactions_12M!$I$5:$I$412,Transactions_12M!$L$5:$L$412,A12,Transactions_12M!$B$5:$B$412,"Revenue")</f>
        <v/>
      </c>
      <c r="D12" s="48">
        <f>SUMIFS(Transactions_12M!$G$5:$G$412,Transactions_12M!$L$5:$L$412,A12,Transactions_12M!$B$5:$B$412,"Expense")</f>
        <v/>
      </c>
      <c r="E12" s="48">
        <f>SUMIFS(Transactions_12M!$I$5:$I$412,Transactions_12M!$L$5:$L$412,A12,Transactions_12M!$B$5:$B$412,"Expense",Transactions_12M!$K$5:$K$412,"Yes")</f>
        <v/>
      </c>
      <c r="F12" s="48">
        <f>B12-D12</f>
        <v/>
      </c>
      <c r="G12" s="48">
        <f>C12-E12</f>
        <v/>
      </c>
      <c r="H12" s="14">
        <f>IF(G12&gt;0,"ต้องจ่าย",IF(G12&lt;0,"ขอคืน/เครดิต","ไม่มี VAT สุทธิ"))</f>
        <v/>
      </c>
      <c r="I12" s="14">
        <f>COUNTIFS(Transactions_12M!$L$5:$L$412,A12,Transactions_12M!$B$5:$B$412,"Revenue")</f>
        <v/>
      </c>
      <c r="J12" s="14">
        <f>COUNTIFS(Transactions_12M!$L$5:$L$412,A12,Transactions_12M!$B$5:$B$412,"Expense")</f>
        <v/>
      </c>
    </row>
    <row r="13">
      <c r="A13" s="47" t="n">
        <v>46296</v>
      </c>
      <c r="B13" s="48">
        <f>SUMIFS(Transactions_12M!$G$5:$G$412,Transactions_12M!$L$5:$L$412,A13,Transactions_12M!$B$5:$B$412,"Revenue")</f>
        <v/>
      </c>
      <c r="C13" s="48">
        <f>SUMIFS(Transactions_12M!$I$5:$I$412,Transactions_12M!$L$5:$L$412,A13,Transactions_12M!$B$5:$B$412,"Revenue")</f>
        <v/>
      </c>
      <c r="D13" s="48">
        <f>SUMIFS(Transactions_12M!$G$5:$G$412,Transactions_12M!$L$5:$L$412,A13,Transactions_12M!$B$5:$B$412,"Expense")</f>
        <v/>
      </c>
      <c r="E13" s="48">
        <f>SUMIFS(Transactions_12M!$I$5:$I$412,Transactions_12M!$L$5:$L$412,A13,Transactions_12M!$B$5:$B$412,"Expense",Transactions_12M!$K$5:$K$412,"Yes")</f>
        <v/>
      </c>
      <c r="F13" s="48">
        <f>B13-D13</f>
        <v/>
      </c>
      <c r="G13" s="48">
        <f>C13-E13</f>
        <v/>
      </c>
      <c r="H13" s="14">
        <f>IF(G13&gt;0,"ต้องจ่าย",IF(G13&lt;0,"ขอคืน/เครดิต","ไม่มี VAT สุทธิ"))</f>
        <v/>
      </c>
      <c r="I13" s="14">
        <f>COUNTIFS(Transactions_12M!$L$5:$L$412,A13,Transactions_12M!$B$5:$B$412,"Revenue")</f>
        <v/>
      </c>
      <c r="J13" s="14">
        <f>COUNTIFS(Transactions_12M!$L$5:$L$412,A13,Transactions_12M!$B$5:$B$412,"Expense")</f>
        <v/>
      </c>
    </row>
    <row r="14">
      <c r="A14" s="47" t="n">
        <v>46327</v>
      </c>
      <c r="B14" s="48">
        <f>SUMIFS(Transactions_12M!$G$5:$G$412,Transactions_12M!$L$5:$L$412,A14,Transactions_12M!$B$5:$B$412,"Revenue")</f>
        <v/>
      </c>
      <c r="C14" s="48">
        <f>SUMIFS(Transactions_12M!$I$5:$I$412,Transactions_12M!$L$5:$L$412,A14,Transactions_12M!$B$5:$B$412,"Revenue")</f>
        <v/>
      </c>
      <c r="D14" s="48">
        <f>SUMIFS(Transactions_12M!$G$5:$G$412,Transactions_12M!$L$5:$L$412,A14,Transactions_12M!$B$5:$B$412,"Expense")</f>
        <v/>
      </c>
      <c r="E14" s="48">
        <f>SUMIFS(Transactions_12M!$I$5:$I$412,Transactions_12M!$L$5:$L$412,A14,Transactions_12M!$B$5:$B$412,"Expense",Transactions_12M!$K$5:$K$412,"Yes")</f>
        <v/>
      </c>
      <c r="F14" s="48">
        <f>B14-D14</f>
        <v/>
      </c>
      <c r="G14" s="48">
        <f>C14-E14</f>
        <v/>
      </c>
      <c r="H14" s="14">
        <f>IF(G14&gt;0,"ต้องจ่าย",IF(G14&lt;0,"ขอคืน/เครดิต","ไม่มี VAT สุทธิ"))</f>
        <v/>
      </c>
      <c r="I14" s="14">
        <f>COUNTIFS(Transactions_12M!$L$5:$L$412,A14,Transactions_12M!$B$5:$B$412,"Revenue")</f>
        <v/>
      </c>
      <c r="J14" s="14">
        <f>COUNTIFS(Transactions_12M!$L$5:$L$412,A14,Transactions_12M!$B$5:$B$412,"Expense")</f>
        <v/>
      </c>
    </row>
    <row r="15">
      <c r="A15" s="47" t="n">
        <v>46357</v>
      </c>
      <c r="B15" s="48">
        <f>SUMIFS(Transactions_12M!$G$5:$G$412,Transactions_12M!$L$5:$L$412,A15,Transactions_12M!$B$5:$B$412,"Revenue")</f>
        <v/>
      </c>
      <c r="C15" s="48">
        <f>SUMIFS(Transactions_12M!$I$5:$I$412,Transactions_12M!$L$5:$L$412,A15,Transactions_12M!$B$5:$B$412,"Revenue")</f>
        <v/>
      </c>
      <c r="D15" s="48">
        <f>SUMIFS(Transactions_12M!$G$5:$G$412,Transactions_12M!$L$5:$L$412,A15,Transactions_12M!$B$5:$B$412,"Expense")</f>
        <v/>
      </c>
      <c r="E15" s="48">
        <f>SUMIFS(Transactions_12M!$I$5:$I$412,Transactions_12M!$L$5:$L$412,A15,Transactions_12M!$B$5:$B$412,"Expense",Transactions_12M!$K$5:$K$412,"Yes")</f>
        <v/>
      </c>
      <c r="F15" s="48">
        <f>B15-D15</f>
        <v/>
      </c>
      <c r="G15" s="48">
        <f>C15-E15</f>
        <v/>
      </c>
      <c r="H15" s="14">
        <f>IF(G15&gt;0,"ต้องจ่าย",IF(G15&lt;0,"ขอคืน/เครดิต","ไม่มี VAT สุทธิ"))</f>
        <v/>
      </c>
      <c r="I15" s="14">
        <f>COUNTIFS(Transactions_12M!$L$5:$L$412,A15,Transactions_12M!$B$5:$B$412,"Revenue")</f>
        <v/>
      </c>
      <c r="J15" s="14">
        <f>COUNTIFS(Transactions_12M!$L$5:$L$412,A15,Transactions_12M!$B$5:$B$412,"Expense")</f>
        <v/>
      </c>
    </row>
    <row r="17">
      <c r="A17" s="35" t="inlineStr">
        <is>
          <t>รวมทั้งปี</t>
        </is>
      </c>
      <c r="B17" s="53">
        <f>SUM(B4:B15)</f>
        <v/>
      </c>
      <c r="C17" s="53">
        <f>SUM(C4:C15)</f>
        <v/>
      </c>
      <c r="D17" s="53">
        <f>SUM(D4:D15)</f>
        <v/>
      </c>
      <c r="E17" s="53">
        <f>SUM(E4:E15)</f>
        <v/>
      </c>
      <c r="F17" s="53">
        <f>SUM(F4:F15)</f>
        <v/>
      </c>
      <c r="G17" s="53">
        <f>SUM(G4:G15)</f>
        <v/>
      </c>
    </row>
  </sheetData>
  <mergeCells count="1">
    <mergeCell ref="A1:J1"/>
  </mergeCells>
  <conditionalFormatting sqref="G4:G15">
    <cfRule type="cellIs" priority="1" operator="greaterThan" dxfId="0">
      <formula>0</formula>
    </cfRule>
    <cfRule type="cellIs" priority="2" operator="lessThan" dxfId="1">
      <formula>0</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cols>
    <col width="30" customWidth="1" min="1" max="1"/>
    <col width="90" customWidth="1" min="2" max="2"/>
    <col width="10" customWidth="1" min="3" max="3"/>
    <col width="28" customWidth="1" min="4" max="4"/>
    <col width="10" customWidth="1" min="5" max="5"/>
    <col width="18" customWidth="1" min="6" max="6"/>
  </cols>
  <sheetData>
    <row r="1" ht="25.5" customHeight="1">
      <c r="A1" s="4" t="inlineStr">
        <is>
          <t>ตั้งค่าและคำอธิบาย</t>
        </is>
      </c>
    </row>
    <row r="3">
      <c r="A3" s="10" t="inlineStr">
        <is>
          <t>รายการ</t>
        </is>
      </c>
      <c r="B3" s="10" t="inlineStr">
        <is>
          <t>ค่า</t>
        </is>
      </c>
      <c r="D3" s="69" t="inlineStr">
        <is>
          <t>Supplier ที่สั่งประจำ</t>
        </is>
      </c>
      <c r="F3" s="74" t="inlineStr">
        <is>
          <t>ประเภทเอกสาร</t>
        </is>
      </c>
    </row>
    <row r="4">
      <c r="A4" s="14" t="inlineStr">
        <is>
          <t>อัตรา VAT</t>
        </is>
      </c>
      <c r="B4" s="54" t="n">
        <v>0.07000000000000001</v>
      </c>
      <c r="D4" s="70" t="inlineStr">
        <is>
          <t>บริษัทสุจิโรจน์</t>
        </is>
      </c>
      <c r="F4" s="76" t="inlineStr">
        <is>
          <t>บิล</t>
        </is>
      </c>
    </row>
    <row r="5">
      <c r="A5" s="14" t="inlineStr">
        <is>
          <t>ปีที่ใช้สรุป</t>
        </is>
      </c>
      <c r="B5" s="55" t="n">
        <v>2026</v>
      </c>
      <c r="D5" s="70" t="inlineStr">
        <is>
          <t>บริษัท ETC</t>
        </is>
      </c>
      <c r="F5" s="76" t="inlineStr">
        <is>
          <t>ใบเสร็จ</t>
        </is>
      </c>
    </row>
    <row r="6">
      <c r="A6" s="14" t="inlineStr">
        <is>
          <t>สกุลเงิน</t>
        </is>
      </c>
      <c r="B6" s="14" t="inlineStr">
        <is>
          <t>THB</t>
        </is>
      </c>
      <c r="D6" s="70" t="inlineStr">
        <is>
          <t>บริษัทกานาไทย</t>
        </is>
      </c>
      <c r="F6" s="76" t="inlineStr">
        <is>
          <t>ใบกำกับภาษี</t>
        </is>
      </c>
    </row>
    <row r="7">
      <c r="A7" s="14" t="inlineStr">
        <is>
          <t>สถานะตรวจสอบ</t>
        </is>
      </c>
      <c r="B7" s="14" t="inlineStr">
        <is>
          <t>กรอกข้อมูลรายรับ/ค่าใช้จ่าย แล้วดูผลใน Dashboard</t>
        </is>
      </c>
      <c r="D7" s="70" t="inlineStr">
        <is>
          <t>บริษัท SRTOYS</t>
        </is>
      </c>
      <c r="F7" s="76" t="inlineStr">
        <is>
          <t>บิล/ใบเสร็จ</t>
        </is>
      </c>
    </row>
    <row r="8">
      <c r="A8" s="14" t="inlineStr">
        <is>
          <t>โฟลเดอร์บิลสแกน</t>
        </is>
      </c>
      <c r="B8" s="14" t="inlineStr">
        <is>
          <t>bills/</t>
        </is>
      </c>
    </row>
    <row r="9">
      <c r="A9" s="14" t="inlineStr">
        <is>
          <t>หมายเหตุ</t>
        </is>
      </c>
      <c r="B9" s="14" t="inlineStr">
        <is>
          <t>ยอดสุทธิ = รายรับไม่รวม VAT - ค่าใช้จ่ายไม่รวม VAT</t>
        </is>
      </c>
    </row>
    <row r="11">
      <c r="A11" s="10" t="inlineStr">
        <is>
          <t>หมวดค่าใช้จ่าย</t>
        </is>
      </c>
      <c r="B11" s="10" t="inlineStr">
        <is>
          <t>ใช้ใน dropdown</t>
        </is>
      </c>
    </row>
    <row r="12">
      <c r="A12" s="14" t="inlineStr">
        <is>
          <t>สินค้า/วัตถุดิบ</t>
        </is>
      </c>
      <c r="B12" s="14" t="str"/>
    </row>
    <row r="13">
      <c r="A13" s="14" t="inlineStr">
        <is>
          <t>ค่าเช่า</t>
        </is>
      </c>
      <c r="B13" s="14" t="str"/>
    </row>
    <row r="14">
      <c r="A14" s="14" t="inlineStr">
        <is>
          <t>ค่าสาธารณูปโภค</t>
        </is>
      </c>
      <c r="B14" s="14" t="str"/>
    </row>
    <row r="15">
      <c r="A15" s="14" t="inlineStr">
        <is>
          <t>ค่าเดินทาง</t>
        </is>
      </c>
      <c r="B15" s="14" t="str"/>
    </row>
    <row r="16">
      <c r="A16" s="14" t="inlineStr">
        <is>
          <t>สำนักงาน</t>
        </is>
      </c>
      <c r="B16" s="14" t="str"/>
    </row>
    <row r="17">
      <c r="A17" s="14" t="inlineStr">
        <is>
          <t>บริการ</t>
        </is>
      </c>
      <c r="B17" s="14" t="str"/>
    </row>
    <row r="18">
      <c r="A18" s="14" t="inlineStr">
        <is>
          <t>อื่น ๆ</t>
        </is>
      </c>
      <c r="B18" s="14" t="str"/>
    </row>
    <row r="19">
      <c r="A19" s="14" t="inlineStr">
        <is>
          <t>ไม่มี VAT/ยกเว้น VAT</t>
        </is>
      </c>
      <c r="B19" s="14" t="str"/>
    </row>
    <row r="20">
      <c r="A20" s="66" t="inlineStr">
        <is>
          <t>ค่าใช้จ่ายประจำ</t>
        </is>
      </c>
    </row>
    <row r="21">
      <c r="A21" s="70" t="inlineStr">
        <is>
          <t>ค่าไฟ</t>
        </is>
      </c>
    </row>
    <row r="22">
      <c r="A22" s="71" t="inlineStr">
        <is>
          <t>ค่าน้ำ</t>
        </is>
      </c>
    </row>
    <row r="23">
      <c r="A23" s="67" t="inlineStr">
        <is>
          <t>ค่าอินเตอร์เน็ต</t>
        </is>
      </c>
      <c r="B23" s="68" t="inlineStr">
        <is>
          <t>กรอกรายรับแยกเดือน เดือนละ 20 รายการ ระบบสรุปเข้า Monthly_VAT อัตโนมัติ</t>
        </is>
      </c>
    </row>
    <row r="24">
      <c r="A24" s="67" t="inlineStr">
        <is>
          <t>ค่าโทรศัพท์</t>
        </is>
      </c>
      <c r="B24" s="68" t="inlineStr">
        <is>
          <t>กรอกค่าใช้จ่ายแยกเดือน เดือนละ 20 รายการ ระบบสรุปเข้า Monthly_VAT อัตโนมัติ</t>
        </is>
      </c>
    </row>
    <row r="25">
      <c r="A25" s="67" t="inlineStr">
        <is>
          <t>ค่าเช่าสำนักงาน</t>
        </is>
      </c>
      <c r="B25" s="68" t="inlineStr">
        <is>
          <t>Revenue และ Expenses เดิมยังใช้งานได้ สูตรสรุปรวมข้อมูลจากทั้งตารางเดิมและตารางรายเดือน</t>
        </is>
      </c>
    </row>
    <row r="27">
      <c r="A27" s="69" t="inlineStr">
        <is>
          <t>หมวดรายรับ</t>
        </is>
      </c>
    </row>
    <row r="28">
      <c r="A28" s="72" t="inlineStr">
        <is>
          <t>ร้านสาขาสี่แยกชะอำ</t>
        </is>
      </c>
      <c r="B28" s="68" t="inlineStr">
        <is>
          <t>ใช้ชีตนี้เป็นหลัก: กรอกวันที่ เลือกประเภท Revenue/Expense แล้วใส่ยอดก่อน VAT ระบบคำนวณ VAT และสรุปรายเดือนให้</t>
        </is>
      </c>
    </row>
    <row r="29">
      <c r="A29" s="72" t="inlineStr">
        <is>
          <t>ร้านสาขาหน้าทะเล</t>
        </is>
      </c>
      <c r="B29" s="68" t="inlineStr">
        <is>
          <t>สรุปทีละเดือนจาก Transactions_12M อัตโนมัติ</t>
        </is>
      </c>
    </row>
    <row r="30">
      <c r="A30" s="72" t="inlineStr">
        <is>
          <t>ร้านสาขาภูเก็ต</t>
        </is>
      </c>
      <c r="B30" s="68" t="inlineStr">
        <is>
          <t>ยังเก็บไว้เป็น reference แต่สูตรสรุปเวอร์ชันนี้ใช้ชีตรวม Transactions_12M เป็นหลัก</t>
        </is>
      </c>
    </row>
    <row r="31">
      <c r="A31" s="73" t="inlineStr">
        <is>
          <t>ยอดขายส่งในระบบ PEAK</t>
        </is>
      </c>
    </row>
  </sheetData>
  <mergeCells count="3">
    <mergeCell ref="A27:B27"/>
    <mergeCell ref="A1:F1"/>
    <mergeCell ref="A22:B22"/>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203"/>
  <sheetViews>
    <sheetView showGridLines="0" workbookViewId="0">
      <selection activeCell="A1" sqref="A1"/>
    </sheetView>
  </sheetViews>
  <sheetFormatPr baseColWidth="8" defaultRowHeight="15"/>
  <cols>
    <col width="17.5" customWidth="1" min="1" max="1"/>
    <col width="28.75" customWidth="1" min="2" max="2"/>
    <col width="11.25" customWidth="1" min="3" max="3"/>
    <col width="13.13000011444092" customWidth="1" min="4" max="4"/>
    <col width="21.25" customWidth="1" min="5" max="5"/>
    <col width="13.75" customWidth="1" min="6" max="6"/>
    <col width="13.75" customWidth="1" min="7" max="7"/>
    <col width="40" customWidth="1" min="8" max="8"/>
    <col width="18" customWidth="1" min="9" max="9"/>
  </cols>
  <sheetData>
    <row r="1" ht="25.5" customHeight="1">
      <c r="A1" s="4" t="inlineStr">
        <is>
          <t>ประวัติการนำเข้าบิลจาก OCR</t>
        </is>
      </c>
    </row>
    <row r="3">
      <c r="A3" s="10" t="inlineStr">
        <is>
          <t>เวลา</t>
        </is>
      </c>
      <c r="B3" s="10" t="inlineStr">
        <is>
          <t>ไฟล์</t>
        </is>
      </c>
      <c r="C3" s="10" t="inlineStr">
        <is>
          <t>สถานะ</t>
        </is>
      </c>
      <c r="D3" s="10" t="inlineStr">
        <is>
          <t>วันที่</t>
        </is>
      </c>
      <c r="E3" s="10" t="inlineStr">
        <is>
          <t>ผู้ขาย</t>
        </is>
      </c>
      <c r="F3" s="10" t="inlineStr">
        <is>
          <t>ยอดรวม</t>
        </is>
      </c>
      <c r="G3" s="10" t="inlineStr">
        <is>
          <t>VAT</t>
        </is>
      </c>
      <c r="H3" s="10" t="inlineStr">
        <is>
          <t>ข้อความ/เหตุผล</t>
        </is>
      </c>
      <c r="I3" s="74" t="inlineStr">
        <is>
          <t>ประเภทเอกสาร</t>
        </is>
      </c>
    </row>
    <row r="4">
      <c r="A4" s="56" t="n">
        <v>46192.566693125</v>
      </c>
      <c r="B4" s="14" t="inlineStr">
        <is>
          <t>demo://line-receipt-image.jpg</t>
        </is>
      </c>
      <c r="C4" s="14" t="inlineStr">
        <is>
          <t>Imported</t>
        </is>
      </c>
      <c r="D4" s="49" t="n">
        <v>46192</v>
      </c>
      <c r="E4" s="14" t="inlineStr">
        <is>
          <t>Demo Supplier from LINE</t>
        </is>
      </c>
      <c r="F4" s="48" t="n">
        <v>1070</v>
      </c>
      <c r="G4" s="48" t="n">
        <v>70</v>
      </c>
      <c r="H4" s="14" t="inlineStr">
        <is>
          <t>Demo import without real LINE webhook</t>
        </is>
      </c>
    </row>
    <row r="5">
      <c r="A5" s="56" t="n">
        <v>46192.96793236111</v>
      </c>
      <c r="B5" s="14" t="inlineStr">
        <is>
          <t>outputs\line_uploaded_receipts\20260619_224406_619167417423102420_dbea54d1.jpg</t>
        </is>
      </c>
      <c r="C5" s="14" t="inlineStr">
        <is>
          <t>Imported</t>
        </is>
      </c>
      <c r="D5" s="49" t="n">
        <v>61898</v>
      </c>
      <c r="E5" s="14" t="inlineStr">
        <is>
          <t>CP ALL, 7-Eleven น ิ ต ผ น า ย า ง (09703)</t>
        </is>
      </c>
      <c r="F5" s="48" t="n">
        <v>1669</v>
      </c>
      <c r="G5" s="48" t="n">
        <v>109.19</v>
      </c>
      <c r="H5" s="14" t="inlineStr">
        <is>
          <t>Reprocessed archived LINE receipt LINE user: manual-reprocess</t>
        </is>
      </c>
    </row>
    <row r="6">
      <c r="A6" s="56" t="n">
        <v>46192.96796804398</v>
      </c>
      <c r="B6" s="14" t="inlineStr">
        <is>
          <t>outputs\line_uploaded_receipts\20260619_225154_619168201724395606_95201af1.jpg</t>
        </is>
      </c>
      <c r="C6" s="14" t="inlineStr">
        <is>
          <t>Imported</t>
        </is>
      </c>
      <c r="D6" s="49" t="n">
        <v>46177</v>
      </c>
      <c r="E6" s="14" t="inlineStr">
        <is>
          <t>บ ิ ล เง ิ น ส ด</t>
        </is>
      </c>
      <c r="F6" s="48" t="n">
        <v>390</v>
      </c>
      <c r="G6" s="48" t="n">
        <v>25.51</v>
      </c>
      <c r="H6" s="14" t="inlineStr">
        <is>
          <t>Reprocessed archived LINE receipt LINE user: manual-reprocess</t>
        </is>
      </c>
    </row>
    <row r="7">
      <c r="A7" s="56" t="n">
        <v>46192.96800231482</v>
      </c>
      <c r="B7" s="14" t="inlineStr">
        <is>
          <t>outputs\line_uploaded_receipts\20260619_225720_619168749601161319_973ff84b.jpg</t>
        </is>
      </c>
      <c r="C7" s="14" t="inlineStr">
        <is>
          <t>Imported</t>
        </is>
      </c>
      <c r="D7" s="49" t="n">
        <v>46177</v>
      </c>
      <c r="E7" s="14" t="inlineStr">
        <is>
          <t>บ ิ ล เง ิ น ส ด</t>
        </is>
      </c>
      <c r="F7" s="48" t="n">
        <v>390</v>
      </c>
      <c r="G7" s="48" t="n">
        <v>25.51</v>
      </c>
      <c r="H7" s="14" t="inlineStr">
        <is>
          <t>Reprocessed archived LINE receipt LINE user: manual-reprocess</t>
        </is>
      </c>
    </row>
    <row r="8">
      <c r="A8" s="56" t="n">
        <v>46193.00089072916</v>
      </c>
      <c r="B8" s="14" t="inlineStr">
        <is>
          <t>C:\Users\HP\Documents\Codex\2026-06-19\excel-vat-excel\outputs\line_uploaded_receipts\20260620_000114_619175181683786052_2afe3a5d.jpg</t>
        </is>
      </c>
      <c r="C8" s="14" t="inlineStr">
        <is>
          <t>Imported</t>
        </is>
      </c>
      <c r="D8" s="49" t="n">
        <v>46177</v>
      </c>
      <c r="E8" s="14" t="inlineStr">
        <is>
          <t>บ ิ ล เง ิ น ส ด</t>
        </is>
      </c>
      <c r="F8" s="48" t="n">
        <v>390</v>
      </c>
      <c r="G8" s="48" t="n">
        <v>25.51</v>
      </c>
      <c r="H8" s="14" t="inlineStr">
        <is>
          <t>Imported from LINE OCR LINE user: Ud260925c43fb0823fea42224a2929393</t>
        </is>
      </c>
    </row>
    <row r="9">
      <c r="A9" s="56" t="n">
        <v>46193.00444436343</v>
      </c>
      <c r="B9" s="14" t="inlineStr">
        <is>
          <t>C:\Users\HP\Documents\Codex\2026-06-19\excel-vat-excel\outputs\line_uploaded_receipts\20260620_000621_619175697247633630_6561c610.jpg</t>
        </is>
      </c>
      <c r="C9" s="14" t="inlineStr">
        <is>
          <t>Imported</t>
        </is>
      </c>
      <c r="D9" s="49" t="n">
        <v>46156</v>
      </c>
      <c r="E9" s="14" t="inlineStr">
        <is>
          <t>บ ิ ล เง ิ น ส ด</t>
        </is>
      </c>
      <c r="F9" s="48" t="n">
        <v>12420</v>
      </c>
      <c r="G9" s="48" t="n">
        <v>812.52</v>
      </c>
      <c r="H9" s="14" t="inlineStr">
        <is>
          <t>Imported from LINE OCR LINE user: Ud260925c43fb0823fea42224a2929393</t>
        </is>
      </c>
    </row>
    <row r="10">
      <c r="A10" s="56" t="n">
        <v>46193.03026947917</v>
      </c>
      <c r="B10" s="14" t="inlineStr"/>
      <c r="C10" s="14" t="inlineStr">
        <is>
          <t>DeletedRow</t>
        </is>
      </c>
      <c r="D10" s="49" t="n">
        <v>46193</v>
      </c>
      <c r="E10" s="14" t="inlineStr">
        <is>
          <t>Row 173</t>
        </is>
      </c>
      <c r="F10" s="48" t="n">
        <v>364.49</v>
      </c>
      <c r="G10" s="48" t="n">
        <v>0</v>
      </c>
      <c r="H10" s="14" t="inlineStr">
        <is>
          <t>LINE Delete Row command row=173 old_doc=None old_party=บ ิ ล เง ิ น ส ด LINE user: Ud260925c43fb0823fea42224a2929393</t>
        </is>
      </c>
    </row>
    <row r="11">
      <c r="A11" s="56" t="n">
        <v>46193.03082217593</v>
      </c>
      <c r="B11" s="14" t="inlineStr"/>
      <c r="C11" s="14" t="inlineStr">
        <is>
          <t>DeletedRow</t>
        </is>
      </c>
      <c r="D11" s="49" t="n">
        <v>46193</v>
      </c>
      <c r="E11" s="14" t="inlineStr">
        <is>
          <t>Row 172</t>
        </is>
      </c>
      <c r="F11" s="48" t="n">
        <v>364.49</v>
      </c>
      <c r="G11" s="48" t="n">
        <v>0</v>
      </c>
      <c r="H11" s="14" t="inlineStr">
        <is>
          <t>LINE Delete Row command row=172 old_doc=None old_party=บ ิ ล เง ิ น ส ด LINE user: Ud260925c43fb0823fea42224a2929393</t>
        </is>
      </c>
    </row>
    <row r="12">
      <c r="A12" s="56" t="n">
        <v>46193.0364712963</v>
      </c>
      <c r="B12" s="14" t="inlineStr"/>
      <c r="C12" s="14" t="inlineStr">
        <is>
          <t>DeletedRow</t>
        </is>
      </c>
      <c r="D12" s="49" t="n">
        <v>46193</v>
      </c>
      <c r="E12" s="14" t="inlineStr">
        <is>
          <t>Row 171</t>
        </is>
      </c>
      <c r="F12" s="48" t="n">
        <v>364.49</v>
      </c>
      <c r="G12" s="48" t="n">
        <v>0</v>
      </c>
      <c r="H12" s="14" t="inlineStr">
        <is>
          <t>LINE Delete Row command row=171 old_doc=None old_party=บ ิ ล เง ิ น ส ด LINE user: Ud260925c43fb0823fea42224a2929393</t>
        </is>
      </c>
    </row>
    <row r="13">
      <c r="A13" s="56" t="n">
        <v>46193.03658200231</v>
      </c>
      <c r="B13" s="14" t="inlineStr"/>
      <c r="C13" s="14" t="inlineStr">
        <is>
          <t>DeletedRow</t>
        </is>
      </c>
      <c r="D13" s="49" t="n">
        <v>46193</v>
      </c>
      <c r="E13" s="14" t="inlineStr">
        <is>
          <t>Row 137</t>
        </is>
      </c>
      <c r="F13" s="48" t="n">
        <v>11607.48</v>
      </c>
      <c r="G13" s="48" t="n">
        <v>0</v>
      </c>
      <c r="H13" s="14" t="inlineStr">
        <is>
          <t>LINE Delete Row command row=137 old_doc=None old_party=บ ิ ล เง ิ น ส ด LINE user: Ud260925c43fb0823fea42224a2929393</t>
        </is>
      </c>
    </row>
    <row r="14">
      <c r="A14" s="56" t="n">
        <v>46193.04453612269</v>
      </c>
      <c r="B14" s="14" t="inlineStr"/>
      <c r="C14" s="14" t="inlineStr">
        <is>
          <t>DeletedRow</t>
        </is>
      </c>
      <c r="D14" s="49" t="n">
        <v>46193</v>
      </c>
      <c r="E14" s="14" t="inlineStr">
        <is>
          <t>Row 170</t>
        </is>
      </c>
      <c r="F14" s="48" t="n">
        <v>1559.81</v>
      </c>
      <c r="G14" s="48" t="n">
        <v>0</v>
      </c>
      <c r="H14" s="14" t="inlineStr">
        <is>
          <t>LINE Delete Row command row=170 old_doc=None old_party=CP ALL, 7-Eleven น ิ ต ผ น า ย า ง (09703) LINE user: Ud260925c43fb0823fea42224a2929393</t>
        </is>
      </c>
    </row>
    <row r="15">
      <c r="A15" s="56" t="n">
        <v>46193.44780814815</v>
      </c>
      <c r="B15" s="14" t="inlineStr">
        <is>
          <t>C:\Users\HP\Documents\Codex\2026-06-19\excel-vat-excel\outputs\line_uploaded_receipts\20260620_104332_619239839748849893_1ccac376.jpg</t>
        </is>
      </c>
      <c r="C15" s="14" t="inlineStr">
        <is>
          <t>Imported</t>
        </is>
      </c>
      <c r="D15" s="49" t="n">
        <v>44008</v>
      </c>
      <c r="E15" s="14" t="inlineStr">
        <is>
          <t>บริษัท สุจิโรจน์ จำกัด</t>
        </is>
      </c>
      <c r="F15" s="48" t="n">
        <v>4320</v>
      </c>
      <c r="G15" s="48" t="n">
        <v>282.62</v>
      </c>
      <c r="H15" s="14" t="inlineStr">
        <is>
          <t>Confirmed LINE OCR import LINE user: Ud260925c43fb0823fea42224a2929393</t>
        </is>
      </c>
      <c r="I15" t="inlineStr">
        <is>
          <t>บิล/ใบเสร็จ</t>
        </is>
      </c>
    </row>
    <row r="16">
      <c r="A16" s="56" t="n">
        <v>46193.45933149305</v>
      </c>
      <c r="B16" s="14" t="inlineStr">
        <is>
          <t>C:\Users\HP\Documents\Codex\2026-06-19\excel-vat-excel\outputs\line_uploaded_receipts\20260620_105926_619241439607390655_9dd8c1b6.jpg</t>
        </is>
      </c>
      <c r="C16" s="14" t="inlineStr">
        <is>
          <t>Imported</t>
        </is>
      </c>
      <c r="D16" s="49" t="n">
        <v>42547</v>
      </c>
      <c r="E16" s="14" t="inlineStr">
        <is>
          <t>การไฟฟ้า</t>
        </is>
      </c>
      <c r="F16" s="48" t="n">
        <v>2335.09</v>
      </c>
      <c r="G16" s="48" t="n">
        <v>152.76</v>
      </c>
      <c r="H16" s="14" t="inlineStr">
        <is>
          <t>Confirmed LINE OCR import LINE user: Ud260925c43fb0823fea42224a2929393</t>
        </is>
      </c>
      <c r="I16" t="inlineStr">
        <is>
          <t>ใบกำกับภาษี</t>
        </is>
      </c>
    </row>
    <row r="17">
      <c r="A17" s="56" t="n">
        <v>46193.47706870397</v>
      </c>
      <c r="B17" s="14" t="inlineStr">
        <is>
          <t>C:\Users\HP\Documents\Codex\2026-06-19\excel-vat-excel\outputs\line_uploaded_receipts\20260620_112355_619243903895470345_e635d6a8.jpg</t>
        </is>
      </c>
      <c r="C17" s="14" t="inlineStr">
        <is>
          <t>Imported</t>
        </is>
      </c>
      <c r="D17" s="49" t="n">
        <v>38164</v>
      </c>
      <c r="E17" s="14" t="inlineStr">
        <is>
          <t>ใบ แจ ้ ง ห น ี ้ ค ่ า น ้ า ป ร ะ ป า</t>
        </is>
      </c>
      <c r="F17" s="48" t="n">
        <v>35.31</v>
      </c>
      <c r="G17" s="48" t="n">
        <v>2.31</v>
      </c>
      <c r="H17" s="14" t="inlineStr">
        <is>
          <t>Confirmed LINE OCR import LINE user: U1da511c493a340b1573a67385e70278e</t>
        </is>
      </c>
      <c r="I17" t="inlineStr">
        <is>
          <t>ใบเสร็จ</t>
        </is>
      </c>
    </row>
    <row r="18">
      <c r="A18" s="56" t="n"/>
      <c r="B18" s="14" t="n"/>
      <c r="C18" s="14" t="n"/>
      <c r="D18" s="49" t="n"/>
      <c r="E18" s="14" t="n"/>
      <c r="F18" s="48" t="n"/>
      <c r="G18" s="48" t="n"/>
      <c r="H18" s="14" t="n"/>
    </row>
    <row r="19">
      <c r="A19" s="56" t="n"/>
      <c r="B19" s="14" t="n"/>
      <c r="C19" s="14" t="n"/>
      <c r="D19" s="49" t="n"/>
      <c r="E19" s="14" t="n"/>
      <c r="F19" s="48" t="n"/>
      <c r="G19" s="48" t="n"/>
      <c r="H19" s="14" t="n"/>
    </row>
    <row r="20">
      <c r="A20" s="56" t="n"/>
      <c r="B20" s="14" t="n"/>
      <c r="C20" s="14" t="n"/>
      <c r="D20" s="49" t="n"/>
      <c r="E20" s="14" t="n"/>
      <c r="F20" s="48" t="n"/>
      <c r="G20" s="48" t="n"/>
      <c r="H20" s="14" t="n"/>
    </row>
    <row r="21">
      <c r="A21" s="56" t="n"/>
      <c r="B21" s="14" t="n"/>
      <c r="C21" s="14" t="n"/>
      <c r="D21" s="49" t="n"/>
      <c r="E21" s="14" t="n"/>
      <c r="F21" s="48" t="n"/>
      <c r="G21" s="48" t="n"/>
      <c r="H21" s="14" t="n"/>
    </row>
    <row r="22">
      <c r="A22" s="56" t="n"/>
      <c r="B22" s="14" t="n"/>
      <c r="C22" s="14" t="n"/>
      <c r="D22" s="49" t="n"/>
      <c r="E22" s="14" t="n"/>
      <c r="F22" s="48" t="n"/>
      <c r="G22" s="48" t="n"/>
      <c r="H22" s="14" t="n"/>
    </row>
    <row r="23">
      <c r="A23" s="56" t="n"/>
      <c r="B23" s="14" t="n"/>
      <c r="C23" s="14" t="n"/>
      <c r="D23" s="49" t="n"/>
      <c r="E23" s="14" t="n"/>
      <c r="F23" s="48" t="n"/>
      <c r="G23" s="48" t="n"/>
      <c r="H23" s="14" t="n"/>
    </row>
    <row r="24">
      <c r="A24" s="56" t="n"/>
      <c r="B24" s="14" t="n"/>
      <c r="C24" s="14" t="n"/>
      <c r="D24" s="49" t="n"/>
      <c r="E24" s="14" t="n"/>
      <c r="F24" s="48" t="n"/>
      <c r="G24" s="48" t="n"/>
      <c r="H24" s="14" t="n"/>
    </row>
    <row r="25">
      <c r="A25" s="56" t="n"/>
      <c r="B25" s="14" t="n"/>
      <c r="C25" s="14" t="n"/>
      <c r="D25" s="49" t="n"/>
      <c r="E25" s="14" t="n"/>
      <c r="F25" s="48" t="n"/>
      <c r="G25" s="48" t="n"/>
      <c r="H25" s="14" t="n"/>
    </row>
    <row r="26">
      <c r="A26" s="56" t="n"/>
      <c r="B26" s="14" t="n"/>
      <c r="C26" s="14" t="n"/>
      <c r="D26" s="49" t="n"/>
      <c r="E26" s="14" t="n"/>
      <c r="F26" s="48" t="n"/>
      <c r="G26" s="48" t="n"/>
      <c r="H26" s="14" t="n"/>
    </row>
    <row r="27">
      <c r="A27" s="56" t="n"/>
      <c r="B27" s="14" t="n"/>
      <c r="C27" s="14" t="n"/>
      <c r="D27" s="49" t="n"/>
      <c r="E27" s="14" t="n"/>
      <c r="F27" s="48" t="n"/>
      <c r="G27" s="48" t="n"/>
      <c r="H27" s="14" t="n"/>
    </row>
    <row r="28">
      <c r="A28" s="56" t="n"/>
      <c r="B28" s="14" t="n"/>
      <c r="C28" s="14" t="n"/>
      <c r="D28" s="49" t="n"/>
      <c r="E28" s="14" t="n"/>
      <c r="F28" s="48" t="n"/>
      <c r="G28" s="48" t="n"/>
      <c r="H28" s="14" t="n"/>
    </row>
    <row r="29">
      <c r="A29" s="56" t="n"/>
      <c r="B29" s="14" t="n"/>
      <c r="C29" s="14" t="n"/>
      <c r="D29" s="49" t="n"/>
      <c r="E29" s="14" t="n"/>
      <c r="F29" s="48" t="n"/>
      <c r="G29" s="48" t="n"/>
      <c r="H29" s="14" t="n"/>
    </row>
    <row r="30">
      <c r="A30" s="56" t="n"/>
      <c r="B30" s="14" t="n"/>
      <c r="C30" s="14" t="n"/>
      <c r="D30" s="49" t="n"/>
      <c r="E30" s="14" t="n"/>
      <c r="F30" s="48" t="n"/>
      <c r="G30" s="48" t="n"/>
      <c r="H30" s="14" t="n"/>
    </row>
    <row r="31">
      <c r="A31" s="56" t="n"/>
      <c r="B31" s="14" t="n"/>
      <c r="C31" s="14" t="n"/>
      <c r="D31" s="49" t="n"/>
      <c r="E31" s="14" t="n"/>
      <c r="F31" s="48" t="n"/>
      <c r="G31" s="48" t="n"/>
      <c r="H31" s="14" t="n"/>
    </row>
    <row r="32">
      <c r="A32" s="56" t="n"/>
      <c r="B32" s="14" t="n"/>
      <c r="C32" s="14" t="n"/>
      <c r="D32" s="49" t="n"/>
      <c r="E32" s="14" t="n"/>
      <c r="F32" s="48" t="n"/>
      <c r="G32" s="48" t="n"/>
      <c r="H32" s="14" t="n"/>
    </row>
    <row r="33">
      <c r="A33" s="56" t="n"/>
      <c r="B33" s="14" t="n"/>
      <c r="C33" s="14" t="n"/>
      <c r="D33" s="49" t="n"/>
      <c r="E33" s="14" t="n"/>
      <c r="F33" s="48" t="n"/>
      <c r="G33" s="48" t="n"/>
      <c r="H33" s="14" t="n"/>
    </row>
    <row r="34">
      <c r="A34" s="56" t="n"/>
      <c r="B34" s="14" t="n"/>
      <c r="C34" s="14" t="n"/>
      <c r="D34" s="49" t="n"/>
      <c r="E34" s="14" t="n"/>
      <c r="F34" s="48" t="n"/>
      <c r="G34" s="48" t="n"/>
      <c r="H34" s="14" t="n"/>
    </row>
    <row r="35">
      <c r="A35" s="56" t="n"/>
      <c r="B35" s="14" t="n"/>
      <c r="C35" s="14" t="n"/>
      <c r="D35" s="49" t="n"/>
      <c r="E35" s="14" t="n"/>
      <c r="F35" s="48" t="n"/>
      <c r="G35" s="48" t="n"/>
      <c r="H35" s="14" t="n"/>
    </row>
    <row r="36">
      <c r="A36" s="56" t="n"/>
      <c r="B36" s="14" t="n"/>
      <c r="C36" s="14" t="n"/>
      <c r="D36" s="49" t="n"/>
      <c r="E36" s="14" t="n"/>
      <c r="F36" s="48" t="n"/>
      <c r="G36" s="48" t="n"/>
      <c r="H36" s="14" t="n"/>
    </row>
    <row r="37">
      <c r="A37" s="56" t="n"/>
      <c r="B37" s="14" t="n"/>
      <c r="C37" s="14" t="n"/>
      <c r="D37" s="49" t="n"/>
      <c r="E37" s="14" t="n"/>
      <c r="F37" s="48" t="n"/>
      <c r="G37" s="48" t="n"/>
      <c r="H37" s="14" t="n"/>
    </row>
    <row r="38">
      <c r="A38" s="56" t="n"/>
      <c r="B38" s="14" t="n"/>
      <c r="C38" s="14" t="n"/>
      <c r="D38" s="49" t="n"/>
      <c r="E38" s="14" t="n"/>
      <c r="F38" s="48" t="n"/>
      <c r="G38" s="48" t="n"/>
      <c r="H38" s="14" t="n"/>
    </row>
    <row r="39">
      <c r="A39" s="56" t="n"/>
      <c r="B39" s="14" t="n"/>
      <c r="C39" s="14" t="n"/>
      <c r="D39" s="49" t="n"/>
      <c r="E39" s="14" t="n"/>
      <c r="F39" s="48" t="n"/>
      <c r="G39" s="48" t="n"/>
      <c r="H39" s="14" t="n"/>
    </row>
    <row r="40">
      <c r="A40" s="56" t="n"/>
      <c r="B40" s="14" t="n"/>
      <c r="C40" s="14" t="n"/>
      <c r="D40" s="49" t="n"/>
      <c r="E40" s="14" t="n"/>
      <c r="F40" s="48" t="n"/>
      <c r="G40" s="48" t="n"/>
      <c r="H40" s="14" t="n"/>
    </row>
    <row r="41">
      <c r="A41" s="56" t="n"/>
      <c r="B41" s="14" t="n"/>
      <c r="C41" s="14" t="n"/>
      <c r="D41" s="49" t="n"/>
      <c r="E41" s="14" t="n"/>
      <c r="F41" s="48" t="n"/>
      <c r="G41" s="48" t="n"/>
      <c r="H41" s="14" t="n"/>
    </row>
    <row r="42">
      <c r="A42" s="56" t="n"/>
      <c r="B42" s="14" t="n"/>
      <c r="C42" s="14" t="n"/>
      <c r="D42" s="49" t="n"/>
      <c r="E42" s="14" t="n"/>
      <c r="F42" s="48" t="n"/>
      <c r="G42" s="48" t="n"/>
      <c r="H42" s="14" t="n"/>
    </row>
    <row r="43">
      <c r="A43" s="56" t="n"/>
      <c r="B43" s="14" t="n"/>
      <c r="C43" s="14" t="n"/>
      <c r="D43" s="49" t="n"/>
      <c r="E43" s="14" t="n"/>
      <c r="F43" s="48" t="n"/>
      <c r="G43" s="48" t="n"/>
      <c r="H43" s="14" t="n"/>
    </row>
    <row r="44">
      <c r="A44" s="56" t="n"/>
      <c r="B44" s="14" t="n"/>
      <c r="C44" s="14" t="n"/>
      <c r="D44" s="49" t="n"/>
      <c r="E44" s="14" t="n"/>
      <c r="F44" s="48" t="n"/>
      <c r="G44" s="48" t="n"/>
      <c r="H44" s="14" t="n"/>
    </row>
    <row r="45">
      <c r="A45" s="56" t="n"/>
      <c r="B45" s="14" t="n"/>
      <c r="C45" s="14" t="n"/>
      <c r="D45" s="49" t="n"/>
      <c r="E45" s="14" t="n"/>
      <c r="F45" s="48" t="n"/>
      <c r="G45" s="48" t="n"/>
      <c r="H45" s="14" t="n"/>
    </row>
    <row r="46">
      <c r="A46" s="56" t="n"/>
      <c r="B46" s="14" t="n"/>
      <c r="C46" s="14" t="n"/>
      <c r="D46" s="49" t="n"/>
      <c r="E46" s="14" t="n"/>
      <c r="F46" s="48" t="n"/>
      <c r="G46" s="48" t="n"/>
      <c r="H46" s="14" t="n"/>
    </row>
    <row r="47">
      <c r="A47" s="56" t="n"/>
      <c r="B47" s="14" t="n"/>
      <c r="C47" s="14" t="n"/>
      <c r="D47" s="49" t="n"/>
      <c r="E47" s="14" t="n"/>
      <c r="F47" s="48" t="n"/>
      <c r="G47" s="48" t="n"/>
      <c r="H47" s="14" t="n"/>
    </row>
    <row r="48">
      <c r="A48" s="56" t="n"/>
      <c r="B48" s="14" t="n"/>
      <c r="C48" s="14" t="n"/>
      <c r="D48" s="49" t="n"/>
      <c r="E48" s="14" t="n"/>
      <c r="F48" s="48" t="n"/>
      <c r="G48" s="48" t="n"/>
      <c r="H48" s="14" t="n"/>
    </row>
    <row r="49">
      <c r="A49" s="56" t="n"/>
      <c r="B49" s="14" t="n"/>
      <c r="C49" s="14" t="n"/>
      <c r="D49" s="49" t="n"/>
      <c r="E49" s="14" t="n"/>
      <c r="F49" s="48" t="n"/>
      <c r="G49" s="48" t="n"/>
      <c r="H49" s="14" t="n"/>
    </row>
    <row r="50">
      <c r="A50" s="56" t="n"/>
      <c r="B50" s="14" t="n"/>
      <c r="C50" s="14" t="n"/>
      <c r="D50" s="49" t="n"/>
      <c r="E50" s="14" t="n"/>
      <c r="F50" s="48" t="n"/>
      <c r="G50" s="48" t="n"/>
      <c r="H50" s="14" t="n"/>
    </row>
    <row r="51">
      <c r="A51" s="56" t="n"/>
      <c r="B51" s="14" t="n"/>
      <c r="C51" s="14" t="n"/>
      <c r="D51" s="49" t="n"/>
      <c r="E51" s="14" t="n"/>
      <c r="F51" s="48" t="n"/>
      <c r="G51" s="48" t="n"/>
      <c r="H51" s="14" t="n"/>
    </row>
    <row r="52">
      <c r="A52" s="56" t="n"/>
      <c r="B52" s="14" t="n"/>
      <c r="C52" s="14" t="n"/>
      <c r="D52" s="49" t="n"/>
      <c r="E52" s="14" t="n"/>
      <c r="F52" s="48" t="n"/>
      <c r="G52" s="48" t="n"/>
      <c r="H52" s="14" t="n"/>
    </row>
    <row r="53">
      <c r="A53" s="56" t="n"/>
      <c r="B53" s="14" t="n"/>
      <c r="C53" s="14" t="n"/>
      <c r="D53" s="49" t="n"/>
      <c r="E53" s="14" t="n"/>
      <c r="F53" s="48" t="n"/>
      <c r="G53" s="48" t="n"/>
      <c r="H53" s="14" t="n"/>
    </row>
    <row r="54">
      <c r="A54" s="56" t="n"/>
      <c r="B54" s="14" t="n"/>
      <c r="C54" s="14" t="n"/>
      <c r="D54" s="49" t="n"/>
      <c r="E54" s="14" t="n"/>
      <c r="F54" s="48" t="n"/>
      <c r="G54" s="48" t="n"/>
      <c r="H54" s="14" t="n"/>
    </row>
    <row r="55">
      <c r="A55" s="56" t="n"/>
      <c r="B55" s="14" t="n"/>
      <c r="C55" s="14" t="n"/>
      <c r="D55" s="49" t="n"/>
      <c r="E55" s="14" t="n"/>
      <c r="F55" s="48" t="n"/>
      <c r="G55" s="48" t="n"/>
      <c r="H55" s="14" t="n"/>
    </row>
    <row r="56">
      <c r="A56" s="56" t="n"/>
      <c r="B56" s="14" t="n"/>
      <c r="C56" s="14" t="n"/>
      <c r="D56" s="49" t="n"/>
      <c r="E56" s="14" t="n"/>
      <c r="F56" s="48" t="n"/>
      <c r="G56" s="48" t="n"/>
      <c r="H56" s="14" t="n"/>
    </row>
    <row r="57">
      <c r="A57" s="56" t="n"/>
      <c r="B57" s="14" t="n"/>
      <c r="C57" s="14" t="n"/>
      <c r="D57" s="49" t="n"/>
      <c r="E57" s="14" t="n"/>
      <c r="F57" s="48" t="n"/>
      <c r="G57" s="48" t="n"/>
      <c r="H57" s="14" t="n"/>
    </row>
    <row r="58">
      <c r="A58" s="56" t="n"/>
      <c r="B58" s="14" t="n"/>
      <c r="C58" s="14" t="n"/>
      <c r="D58" s="49" t="n"/>
      <c r="E58" s="14" t="n"/>
      <c r="F58" s="48" t="n"/>
      <c r="G58" s="48" t="n"/>
      <c r="H58" s="14" t="n"/>
    </row>
    <row r="59">
      <c r="A59" s="56" t="n"/>
      <c r="B59" s="14" t="n"/>
      <c r="C59" s="14" t="n"/>
      <c r="D59" s="49" t="n"/>
      <c r="E59" s="14" t="n"/>
      <c r="F59" s="48" t="n"/>
      <c r="G59" s="48" t="n"/>
      <c r="H59" s="14" t="n"/>
    </row>
    <row r="60">
      <c r="A60" s="56" t="n"/>
      <c r="B60" s="14" t="n"/>
      <c r="C60" s="14" t="n"/>
      <c r="D60" s="49" t="n"/>
      <c r="E60" s="14" t="n"/>
      <c r="F60" s="48" t="n"/>
      <c r="G60" s="48" t="n"/>
      <c r="H60" s="14" t="n"/>
    </row>
    <row r="61">
      <c r="A61" s="56" t="n"/>
      <c r="B61" s="14" t="n"/>
      <c r="C61" s="14" t="n"/>
      <c r="D61" s="49" t="n"/>
      <c r="E61" s="14" t="n"/>
      <c r="F61" s="48" t="n"/>
      <c r="G61" s="48" t="n"/>
      <c r="H61" s="14" t="n"/>
    </row>
    <row r="62">
      <c r="A62" s="56" t="n"/>
      <c r="B62" s="14" t="n"/>
      <c r="C62" s="14" t="n"/>
      <c r="D62" s="49" t="n"/>
      <c r="E62" s="14" t="n"/>
      <c r="F62" s="48" t="n"/>
      <c r="G62" s="48" t="n"/>
      <c r="H62" s="14" t="n"/>
    </row>
    <row r="63">
      <c r="A63" s="56" t="n"/>
      <c r="B63" s="14" t="n"/>
      <c r="C63" s="14" t="n"/>
      <c r="D63" s="49" t="n"/>
      <c r="E63" s="14" t="n"/>
      <c r="F63" s="48" t="n"/>
      <c r="G63" s="48" t="n"/>
      <c r="H63" s="14" t="n"/>
    </row>
    <row r="64">
      <c r="A64" s="56" t="n"/>
      <c r="B64" s="14" t="n"/>
      <c r="C64" s="14" t="n"/>
      <c r="D64" s="49" t="n"/>
      <c r="E64" s="14" t="n"/>
      <c r="F64" s="48" t="n"/>
      <c r="G64" s="48" t="n"/>
      <c r="H64" s="14" t="n"/>
    </row>
    <row r="65">
      <c r="A65" s="56" t="n"/>
      <c r="B65" s="14" t="n"/>
      <c r="C65" s="14" t="n"/>
      <c r="D65" s="49" t="n"/>
      <c r="E65" s="14" t="n"/>
      <c r="F65" s="48" t="n"/>
      <c r="G65" s="48" t="n"/>
      <c r="H65" s="14" t="n"/>
    </row>
    <row r="66">
      <c r="A66" s="56" t="n"/>
      <c r="B66" s="14" t="n"/>
      <c r="C66" s="14" t="n"/>
      <c r="D66" s="49" t="n"/>
      <c r="E66" s="14" t="n"/>
      <c r="F66" s="48" t="n"/>
      <c r="G66" s="48" t="n"/>
      <c r="H66" s="14" t="n"/>
    </row>
    <row r="67">
      <c r="A67" s="56" t="n"/>
      <c r="B67" s="14" t="n"/>
      <c r="C67" s="14" t="n"/>
      <c r="D67" s="49" t="n"/>
      <c r="E67" s="14" t="n"/>
      <c r="F67" s="48" t="n"/>
      <c r="G67" s="48" t="n"/>
      <c r="H67" s="14" t="n"/>
    </row>
    <row r="68">
      <c r="A68" s="56" t="n"/>
      <c r="B68" s="14" t="n"/>
      <c r="C68" s="14" t="n"/>
      <c r="D68" s="49" t="n"/>
      <c r="E68" s="14" t="n"/>
      <c r="F68" s="48" t="n"/>
      <c r="G68" s="48" t="n"/>
      <c r="H68" s="14" t="n"/>
    </row>
    <row r="69">
      <c r="A69" s="56" t="n"/>
      <c r="B69" s="14" t="n"/>
      <c r="C69" s="14" t="n"/>
      <c r="D69" s="49" t="n"/>
      <c r="E69" s="14" t="n"/>
      <c r="F69" s="48" t="n"/>
      <c r="G69" s="48" t="n"/>
      <c r="H69" s="14" t="n"/>
    </row>
    <row r="70">
      <c r="A70" s="56" t="n"/>
      <c r="B70" s="14" t="n"/>
      <c r="C70" s="14" t="n"/>
      <c r="D70" s="49" t="n"/>
      <c r="E70" s="14" t="n"/>
      <c r="F70" s="48" t="n"/>
      <c r="G70" s="48" t="n"/>
      <c r="H70" s="14" t="n"/>
    </row>
    <row r="71">
      <c r="A71" s="56" t="n"/>
      <c r="B71" s="14" t="n"/>
      <c r="C71" s="14" t="n"/>
      <c r="D71" s="49" t="n"/>
      <c r="E71" s="14" t="n"/>
      <c r="F71" s="48" t="n"/>
      <c r="G71" s="48" t="n"/>
      <c r="H71" s="14" t="n"/>
    </row>
    <row r="72">
      <c r="A72" s="56" t="n"/>
      <c r="B72" s="14" t="n"/>
      <c r="C72" s="14" t="n"/>
      <c r="D72" s="49" t="n"/>
      <c r="E72" s="14" t="n"/>
      <c r="F72" s="48" t="n"/>
      <c r="G72" s="48" t="n"/>
      <c r="H72" s="14" t="n"/>
    </row>
    <row r="73">
      <c r="A73" s="56" t="n"/>
      <c r="B73" s="14" t="n"/>
      <c r="C73" s="14" t="n"/>
      <c r="D73" s="49" t="n"/>
      <c r="E73" s="14" t="n"/>
      <c r="F73" s="48" t="n"/>
      <c r="G73" s="48" t="n"/>
      <c r="H73" s="14" t="n"/>
    </row>
    <row r="74">
      <c r="A74" s="56" t="n"/>
      <c r="B74" s="14" t="n"/>
      <c r="C74" s="14" t="n"/>
      <c r="D74" s="49" t="n"/>
      <c r="E74" s="14" t="n"/>
      <c r="F74" s="48" t="n"/>
      <c r="G74" s="48" t="n"/>
      <c r="H74" s="14" t="n"/>
    </row>
    <row r="75">
      <c r="A75" s="56" t="n"/>
      <c r="B75" s="14" t="n"/>
      <c r="C75" s="14" t="n"/>
      <c r="D75" s="49" t="n"/>
      <c r="E75" s="14" t="n"/>
      <c r="F75" s="48" t="n"/>
      <c r="G75" s="48" t="n"/>
      <c r="H75" s="14" t="n"/>
    </row>
    <row r="76">
      <c r="A76" s="56" t="n"/>
      <c r="B76" s="14" t="n"/>
      <c r="C76" s="14" t="n"/>
      <c r="D76" s="49" t="n"/>
      <c r="E76" s="14" t="n"/>
      <c r="F76" s="48" t="n"/>
      <c r="G76" s="48" t="n"/>
      <c r="H76" s="14" t="n"/>
    </row>
    <row r="77">
      <c r="A77" s="56" t="n"/>
      <c r="B77" s="14" t="n"/>
      <c r="C77" s="14" t="n"/>
      <c r="D77" s="49" t="n"/>
      <c r="E77" s="14" t="n"/>
      <c r="F77" s="48" t="n"/>
      <c r="G77" s="48" t="n"/>
      <c r="H77" s="14" t="n"/>
    </row>
    <row r="78">
      <c r="A78" s="56" t="n"/>
      <c r="B78" s="14" t="n"/>
      <c r="C78" s="14" t="n"/>
      <c r="D78" s="49" t="n"/>
      <c r="E78" s="14" t="n"/>
      <c r="F78" s="48" t="n"/>
      <c r="G78" s="48" t="n"/>
      <c r="H78" s="14" t="n"/>
    </row>
    <row r="79">
      <c r="A79" s="56" t="n"/>
      <c r="B79" s="14" t="n"/>
      <c r="C79" s="14" t="n"/>
      <c r="D79" s="49" t="n"/>
      <c r="E79" s="14" t="n"/>
      <c r="F79" s="48" t="n"/>
      <c r="G79" s="48" t="n"/>
      <c r="H79" s="14" t="n"/>
    </row>
    <row r="80">
      <c r="A80" s="56" t="n"/>
      <c r="B80" s="14" t="n"/>
      <c r="C80" s="14" t="n"/>
      <c r="D80" s="49" t="n"/>
      <c r="E80" s="14" t="n"/>
      <c r="F80" s="48" t="n"/>
      <c r="G80" s="48" t="n"/>
      <c r="H80" s="14" t="n"/>
    </row>
    <row r="81">
      <c r="A81" s="56" t="n"/>
      <c r="B81" s="14" t="n"/>
      <c r="C81" s="14" t="n"/>
      <c r="D81" s="49" t="n"/>
      <c r="E81" s="14" t="n"/>
      <c r="F81" s="48" t="n"/>
      <c r="G81" s="48" t="n"/>
      <c r="H81" s="14" t="n"/>
    </row>
    <row r="82">
      <c r="A82" s="56" t="n"/>
      <c r="B82" s="14" t="n"/>
      <c r="C82" s="14" t="n"/>
      <c r="D82" s="49" t="n"/>
      <c r="E82" s="14" t="n"/>
      <c r="F82" s="48" t="n"/>
      <c r="G82" s="48" t="n"/>
      <c r="H82" s="14" t="n"/>
    </row>
    <row r="83">
      <c r="A83" s="56" t="n"/>
      <c r="B83" s="14" t="n"/>
      <c r="C83" s="14" t="n"/>
      <c r="D83" s="49" t="n"/>
      <c r="E83" s="14" t="n"/>
      <c r="F83" s="48" t="n"/>
      <c r="G83" s="48" t="n"/>
      <c r="H83" s="14" t="n"/>
    </row>
    <row r="84">
      <c r="A84" s="56" t="n"/>
      <c r="B84" s="14" t="n"/>
      <c r="C84" s="14" t="n"/>
      <c r="D84" s="49" t="n"/>
      <c r="E84" s="14" t="n"/>
      <c r="F84" s="48" t="n"/>
      <c r="G84" s="48" t="n"/>
      <c r="H84" s="14" t="n"/>
    </row>
    <row r="85">
      <c r="A85" s="56" t="n"/>
      <c r="B85" s="14" t="n"/>
      <c r="C85" s="14" t="n"/>
      <c r="D85" s="49" t="n"/>
      <c r="E85" s="14" t="n"/>
      <c r="F85" s="48" t="n"/>
      <c r="G85" s="48" t="n"/>
      <c r="H85" s="14" t="n"/>
    </row>
    <row r="86">
      <c r="A86" s="56" t="n"/>
      <c r="B86" s="14" t="n"/>
      <c r="C86" s="14" t="n"/>
      <c r="D86" s="49" t="n"/>
      <c r="E86" s="14" t="n"/>
      <c r="F86" s="48" t="n"/>
      <c r="G86" s="48" t="n"/>
      <c r="H86" s="14" t="n"/>
    </row>
    <row r="87">
      <c r="A87" s="56" t="n"/>
      <c r="B87" s="14" t="n"/>
      <c r="C87" s="14" t="n"/>
      <c r="D87" s="49" t="n"/>
      <c r="E87" s="14" t="n"/>
      <c r="F87" s="48" t="n"/>
      <c r="G87" s="48" t="n"/>
      <c r="H87" s="14" t="n"/>
    </row>
    <row r="88">
      <c r="A88" s="56" t="n"/>
      <c r="B88" s="14" t="n"/>
      <c r="C88" s="14" t="n"/>
      <c r="D88" s="49" t="n"/>
      <c r="E88" s="14" t="n"/>
      <c r="F88" s="48" t="n"/>
      <c r="G88" s="48" t="n"/>
      <c r="H88" s="14" t="n"/>
    </row>
    <row r="89">
      <c r="A89" s="56" t="n"/>
      <c r="B89" s="14" t="n"/>
      <c r="C89" s="14" t="n"/>
      <c r="D89" s="49" t="n"/>
      <c r="E89" s="14" t="n"/>
      <c r="F89" s="48" t="n"/>
      <c r="G89" s="48" t="n"/>
      <c r="H89" s="14" t="n"/>
    </row>
    <row r="90">
      <c r="A90" s="56" t="n"/>
      <c r="B90" s="14" t="n"/>
      <c r="C90" s="14" t="n"/>
      <c r="D90" s="49" t="n"/>
      <c r="E90" s="14" t="n"/>
      <c r="F90" s="48" t="n"/>
      <c r="G90" s="48" t="n"/>
      <c r="H90" s="14" t="n"/>
    </row>
    <row r="91">
      <c r="A91" s="56" t="n"/>
      <c r="B91" s="14" t="n"/>
      <c r="C91" s="14" t="n"/>
      <c r="D91" s="49" t="n"/>
      <c r="E91" s="14" t="n"/>
      <c r="F91" s="48" t="n"/>
      <c r="G91" s="48" t="n"/>
      <c r="H91" s="14" t="n"/>
    </row>
    <row r="92">
      <c r="A92" s="56" t="n"/>
      <c r="B92" s="14" t="n"/>
      <c r="C92" s="14" t="n"/>
      <c r="D92" s="49" t="n"/>
      <c r="E92" s="14" t="n"/>
      <c r="F92" s="48" t="n"/>
      <c r="G92" s="48" t="n"/>
      <c r="H92" s="14" t="n"/>
    </row>
    <row r="93">
      <c r="A93" s="56" t="n"/>
      <c r="B93" s="14" t="n"/>
      <c r="C93" s="14" t="n"/>
      <c r="D93" s="49" t="n"/>
      <c r="E93" s="14" t="n"/>
      <c r="F93" s="48" t="n"/>
      <c r="G93" s="48" t="n"/>
      <c r="H93" s="14" t="n"/>
    </row>
    <row r="94">
      <c r="A94" s="56" t="n"/>
      <c r="B94" s="14" t="n"/>
      <c r="C94" s="14" t="n"/>
      <c r="D94" s="49" t="n"/>
      <c r="E94" s="14" t="n"/>
      <c r="F94" s="48" t="n"/>
      <c r="G94" s="48" t="n"/>
      <c r="H94" s="14" t="n"/>
    </row>
    <row r="95">
      <c r="A95" s="56" t="n"/>
      <c r="B95" s="14" t="n"/>
      <c r="C95" s="14" t="n"/>
      <c r="D95" s="49" t="n"/>
      <c r="E95" s="14" t="n"/>
      <c r="F95" s="48" t="n"/>
      <c r="G95" s="48" t="n"/>
      <c r="H95" s="14" t="n"/>
    </row>
    <row r="96">
      <c r="A96" s="56" t="n"/>
      <c r="B96" s="14" t="n"/>
      <c r="C96" s="14" t="n"/>
      <c r="D96" s="49" t="n"/>
      <c r="E96" s="14" t="n"/>
      <c r="F96" s="48" t="n"/>
      <c r="G96" s="48" t="n"/>
      <c r="H96" s="14" t="n"/>
    </row>
    <row r="97">
      <c r="A97" s="56" t="n"/>
      <c r="B97" s="14" t="n"/>
      <c r="C97" s="14" t="n"/>
      <c r="D97" s="49" t="n"/>
      <c r="E97" s="14" t="n"/>
      <c r="F97" s="48" t="n"/>
      <c r="G97" s="48" t="n"/>
      <c r="H97" s="14" t="n"/>
    </row>
    <row r="98">
      <c r="A98" s="56" t="n"/>
      <c r="B98" s="14" t="n"/>
      <c r="C98" s="14" t="n"/>
      <c r="D98" s="49" t="n"/>
      <c r="E98" s="14" t="n"/>
      <c r="F98" s="48" t="n"/>
      <c r="G98" s="48" t="n"/>
      <c r="H98" s="14" t="n"/>
    </row>
    <row r="99">
      <c r="A99" s="56" t="n"/>
      <c r="B99" s="14" t="n"/>
      <c r="C99" s="14" t="n"/>
      <c r="D99" s="49" t="n"/>
      <c r="E99" s="14" t="n"/>
      <c r="F99" s="48" t="n"/>
      <c r="G99" s="48" t="n"/>
      <c r="H99" s="14" t="n"/>
    </row>
    <row r="100">
      <c r="A100" s="56" t="n"/>
      <c r="B100" s="14" t="n"/>
      <c r="C100" s="14" t="n"/>
      <c r="D100" s="49" t="n"/>
      <c r="E100" s="14" t="n"/>
      <c r="F100" s="48" t="n"/>
      <c r="G100" s="48" t="n"/>
      <c r="H100" s="14" t="n"/>
    </row>
    <row r="101">
      <c r="A101" s="56" t="n"/>
      <c r="B101" s="14" t="n"/>
      <c r="C101" s="14" t="n"/>
      <c r="D101" s="49" t="n"/>
      <c r="E101" s="14" t="n"/>
      <c r="F101" s="48" t="n"/>
      <c r="G101" s="48" t="n"/>
      <c r="H101" s="14" t="n"/>
    </row>
    <row r="102">
      <c r="A102" s="56" t="n"/>
      <c r="B102" s="14" t="n"/>
      <c r="C102" s="14" t="n"/>
      <c r="D102" s="49" t="n"/>
      <c r="E102" s="14" t="n"/>
      <c r="F102" s="48" t="n"/>
      <c r="G102" s="48" t="n"/>
      <c r="H102" s="14" t="n"/>
    </row>
    <row r="103">
      <c r="A103" s="56" t="n"/>
      <c r="B103" s="14" t="n"/>
      <c r="C103" s="14" t="n"/>
      <c r="D103" s="49" t="n"/>
      <c r="E103" s="14" t="n"/>
      <c r="F103" s="48" t="n"/>
      <c r="G103" s="48" t="n"/>
      <c r="H103" s="14" t="n"/>
    </row>
    <row r="104">
      <c r="A104" s="56" t="n"/>
      <c r="B104" s="14" t="n"/>
      <c r="C104" s="14" t="n"/>
      <c r="D104" s="49" t="n"/>
      <c r="E104" s="14" t="n"/>
      <c r="F104" s="48" t="n"/>
      <c r="G104" s="48" t="n"/>
      <c r="H104" s="14" t="n"/>
    </row>
    <row r="105">
      <c r="A105" s="56" t="n"/>
      <c r="B105" s="14" t="n"/>
      <c r="C105" s="14" t="n"/>
      <c r="D105" s="49" t="n"/>
      <c r="E105" s="14" t="n"/>
      <c r="F105" s="48" t="n"/>
      <c r="G105" s="48" t="n"/>
      <c r="H105" s="14" t="n"/>
    </row>
    <row r="106">
      <c r="A106" s="56" t="n"/>
      <c r="B106" s="14" t="n"/>
      <c r="C106" s="14" t="n"/>
      <c r="D106" s="49" t="n"/>
      <c r="E106" s="14" t="n"/>
      <c r="F106" s="48" t="n"/>
      <c r="G106" s="48" t="n"/>
      <c r="H106" s="14" t="n"/>
    </row>
    <row r="107">
      <c r="A107" s="56" t="n"/>
      <c r="B107" s="14" t="n"/>
      <c r="C107" s="14" t="n"/>
      <c r="D107" s="49" t="n"/>
      <c r="E107" s="14" t="n"/>
      <c r="F107" s="48" t="n"/>
      <c r="G107" s="48" t="n"/>
      <c r="H107" s="14" t="n"/>
    </row>
    <row r="108">
      <c r="A108" s="56" t="n"/>
      <c r="B108" s="14" t="n"/>
      <c r="C108" s="14" t="n"/>
      <c r="D108" s="49" t="n"/>
      <c r="E108" s="14" t="n"/>
      <c r="F108" s="48" t="n"/>
      <c r="G108" s="48" t="n"/>
      <c r="H108" s="14" t="n"/>
    </row>
    <row r="109">
      <c r="A109" s="56" t="n"/>
      <c r="B109" s="14" t="n"/>
      <c r="C109" s="14" t="n"/>
      <c r="D109" s="49" t="n"/>
      <c r="E109" s="14" t="n"/>
      <c r="F109" s="48" t="n"/>
      <c r="G109" s="48" t="n"/>
      <c r="H109" s="14" t="n"/>
    </row>
    <row r="110">
      <c r="A110" s="56" t="n"/>
      <c r="B110" s="14" t="n"/>
      <c r="C110" s="14" t="n"/>
      <c r="D110" s="49" t="n"/>
      <c r="E110" s="14" t="n"/>
      <c r="F110" s="48" t="n"/>
      <c r="G110" s="48" t="n"/>
      <c r="H110" s="14" t="n"/>
    </row>
    <row r="111">
      <c r="A111" s="56" t="n"/>
      <c r="B111" s="14" t="n"/>
      <c r="C111" s="14" t="n"/>
      <c r="D111" s="49" t="n"/>
      <c r="E111" s="14" t="n"/>
      <c r="F111" s="48" t="n"/>
      <c r="G111" s="48" t="n"/>
      <c r="H111" s="14" t="n"/>
    </row>
    <row r="112">
      <c r="A112" s="56" t="n"/>
      <c r="B112" s="14" t="n"/>
      <c r="C112" s="14" t="n"/>
      <c r="D112" s="49" t="n"/>
      <c r="E112" s="14" t="n"/>
      <c r="F112" s="48" t="n"/>
      <c r="G112" s="48" t="n"/>
      <c r="H112" s="14" t="n"/>
    </row>
    <row r="113">
      <c r="A113" s="56" t="n"/>
      <c r="B113" s="14" t="n"/>
      <c r="C113" s="14" t="n"/>
      <c r="D113" s="49" t="n"/>
      <c r="E113" s="14" t="n"/>
      <c r="F113" s="48" t="n"/>
      <c r="G113" s="48" t="n"/>
      <c r="H113" s="14" t="n"/>
    </row>
    <row r="114">
      <c r="A114" s="56" t="n"/>
      <c r="B114" s="14" t="n"/>
      <c r="C114" s="14" t="n"/>
      <c r="D114" s="49" t="n"/>
      <c r="E114" s="14" t="n"/>
      <c r="F114" s="48" t="n"/>
      <c r="G114" s="48" t="n"/>
      <c r="H114" s="14" t="n"/>
    </row>
    <row r="115">
      <c r="A115" s="56" t="n"/>
      <c r="B115" s="14" t="n"/>
      <c r="C115" s="14" t="n"/>
      <c r="D115" s="49" t="n"/>
      <c r="E115" s="14" t="n"/>
      <c r="F115" s="48" t="n"/>
      <c r="G115" s="48" t="n"/>
      <c r="H115" s="14" t="n"/>
    </row>
    <row r="116">
      <c r="A116" s="56" t="n"/>
      <c r="B116" s="14" t="n"/>
      <c r="C116" s="14" t="n"/>
      <c r="D116" s="49" t="n"/>
      <c r="E116" s="14" t="n"/>
      <c r="F116" s="48" t="n"/>
      <c r="G116" s="48" t="n"/>
      <c r="H116" s="14" t="n"/>
    </row>
    <row r="117">
      <c r="A117" s="56" t="n"/>
      <c r="B117" s="14" t="n"/>
      <c r="C117" s="14" t="n"/>
      <c r="D117" s="49" t="n"/>
      <c r="E117" s="14" t="n"/>
      <c r="F117" s="48" t="n"/>
      <c r="G117" s="48" t="n"/>
      <c r="H117" s="14" t="n"/>
    </row>
    <row r="118">
      <c r="A118" s="56" t="n"/>
      <c r="B118" s="14" t="n"/>
      <c r="C118" s="14" t="n"/>
      <c r="D118" s="49" t="n"/>
      <c r="E118" s="14" t="n"/>
      <c r="F118" s="48" t="n"/>
      <c r="G118" s="48" t="n"/>
      <c r="H118" s="14" t="n"/>
    </row>
    <row r="119">
      <c r="A119" s="56" t="n"/>
      <c r="B119" s="14" t="n"/>
      <c r="C119" s="14" t="n"/>
      <c r="D119" s="49" t="n"/>
      <c r="E119" s="14" t="n"/>
      <c r="F119" s="48" t="n"/>
      <c r="G119" s="48" t="n"/>
      <c r="H119" s="14" t="n"/>
    </row>
    <row r="120">
      <c r="A120" s="56" t="n"/>
      <c r="B120" s="14" t="n"/>
      <c r="C120" s="14" t="n"/>
      <c r="D120" s="49" t="n"/>
      <c r="E120" s="14" t="n"/>
      <c r="F120" s="48" t="n"/>
      <c r="G120" s="48" t="n"/>
      <c r="H120" s="14" t="n"/>
    </row>
    <row r="121">
      <c r="A121" s="56" t="n"/>
      <c r="B121" s="14" t="n"/>
      <c r="C121" s="14" t="n"/>
      <c r="D121" s="49" t="n"/>
      <c r="E121" s="14" t="n"/>
      <c r="F121" s="48" t="n"/>
      <c r="G121" s="48" t="n"/>
      <c r="H121" s="14" t="n"/>
    </row>
    <row r="122">
      <c r="A122" s="56" t="n"/>
      <c r="B122" s="14" t="n"/>
      <c r="C122" s="14" t="n"/>
      <c r="D122" s="49" t="n"/>
      <c r="E122" s="14" t="n"/>
      <c r="F122" s="48" t="n"/>
      <c r="G122" s="48" t="n"/>
      <c r="H122" s="14" t="n"/>
    </row>
    <row r="123">
      <c r="A123" s="56" t="n"/>
      <c r="B123" s="14" t="n"/>
      <c r="C123" s="14" t="n"/>
      <c r="D123" s="49" t="n"/>
      <c r="E123" s="14" t="n"/>
      <c r="F123" s="48" t="n"/>
      <c r="G123" s="48" t="n"/>
      <c r="H123" s="14" t="n"/>
    </row>
    <row r="124">
      <c r="A124" s="56" t="n"/>
      <c r="B124" s="14" t="n"/>
      <c r="C124" s="14" t="n"/>
      <c r="D124" s="49" t="n"/>
      <c r="E124" s="14" t="n"/>
      <c r="F124" s="48" t="n"/>
      <c r="G124" s="48" t="n"/>
      <c r="H124" s="14" t="n"/>
    </row>
    <row r="125">
      <c r="A125" s="56" t="n"/>
      <c r="B125" s="14" t="n"/>
      <c r="C125" s="14" t="n"/>
      <c r="D125" s="49" t="n"/>
      <c r="E125" s="14" t="n"/>
      <c r="F125" s="48" t="n"/>
      <c r="G125" s="48" t="n"/>
      <c r="H125" s="14" t="n"/>
    </row>
    <row r="126">
      <c r="A126" s="56" t="n"/>
      <c r="B126" s="14" t="n"/>
      <c r="C126" s="14" t="n"/>
      <c r="D126" s="49" t="n"/>
      <c r="E126" s="14" t="n"/>
      <c r="F126" s="48" t="n"/>
      <c r="G126" s="48" t="n"/>
      <c r="H126" s="14" t="n"/>
    </row>
    <row r="127">
      <c r="A127" s="56" t="n"/>
      <c r="B127" s="14" t="n"/>
      <c r="C127" s="14" t="n"/>
      <c r="D127" s="49" t="n"/>
      <c r="E127" s="14" t="n"/>
      <c r="F127" s="48" t="n"/>
      <c r="G127" s="48" t="n"/>
      <c r="H127" s="14" t="n"/>
    </row>
    <row r="128">
      <c r="A128" s="56" t="n"/>
      <c r="B128" s="14" t="n"/>
      <c r="C128" s="14" t="n"/>
      <c r="D128" s="49" t="n"/>
      <c r="E128" s="14" t="n"/>
      <c r="F128" s="48" t="n"/>
      <c r="G128" s="48" t="n"/>
      <c r="H128" s="14" t="n"/>
    </row>
    <row r="129">
      <c r="A129" s="56" t="n"/>
      <c r="B129" s="14" t="n"/>
      <c r="C129" s="14" t="n"/>
      <c r="D129" s="49" t="n"/>
      <c r="E129" s="14" t="n"/>
      <c r="F129" s="48" t="n"/>
      <c r="G129" s="48" t="n"/>
      <c r="H129" s="14" t="n"/>
    </row>
    <row r="130">
      <c r="A130" s="56" t="n"/>
      <c r="B130" s="14" t="n"/>
      <c r="C130" s="14" t="n"/>
      <c r="D130" s="49" t="n"/>
      <c r="E130" s="14" t="n"/>
      <c r="F130" s="48" t="n"/>
      <c r="G130" s="48" t="n"/>
      <c r="H130" s="14" t="n"/>
    </row>
    <row r="131">
      <c r="A131" s="56" t="n"/>
      <c r="B131" s="14" t="n"/>
      <c r="C131" s="14" t="n"/>
      <c r="D131" s="49" t="n"/>
      <c r="E131" s="14" t="n"/>
      <c r="F131" s="48" t="n"/>
      <c r="G131" s="48" t="n"/>
      <c r="H131" s="14" t="n"/>
    </row>
    <row r="132">
      <c r="A132" s="56" t="n"/>
      <c r="B132" s="14" t="n"/>
      <c r="C132" s="14" t="n"/>
      <c r="D132" s="49" t="n"/>
      <c r="E132" s="14" t="n"/>
      <c r="F132" s="48" t="n"/>
      <c r="G132" s="48" t="n"/>
      <c r="H132" s="14" t="n"/>
    </row>
    <row r="133">
      <c r="A133" s="56" t="n"/>
      <c r="B133" s="14" t="n"/>
      <c r="C133" s="14" t="n"/>
      <c r="D133" s="49" t="n"/>
      <c r="E133" s="14" t="n"/>
      <c r="F133" s="48" t="n"/>
      <c r="G133" s="48" t="n"/>
      <c r="H133" s="14" t="n"/>
    </row>
    <row r="134">
      <c r="A134" s="56" t="n"/>
      <c r="B134" s="14" t="n"/>
      <c r="C134" s="14" t="n"/>
      <c r="D134" s="49" t="n"/>
      <c r="E134" s="14" t="n"/>
      <c r="F134" s="48" t="n"/>
      <c r="G134" s="48" t="n"/>
      <c r="H134" s="14" t="n"/>
    </row>
    <row r="135">
      <c r="A135" s="56" t="n"/>
      <c r="B135" s="14" t="n"/>
      <c r="C135" s="14" t="n"/>
      <c r="D135" s="49" t="n"/>
      <c r="E135" s="14" t="n"/>
      <c r="F135" s="48" t="n"/>
      <c r="G135" s="48" t="n"/>
      <c r="H135" s="14" t="n"/>
    </row>
    <row r="136">
      <c r="A136" s="56" t="n"/>
      <c r="B136" s="14" t="n"/>
      <c r="C136" s="14" t="n"/>
      <c r="D136" s="49" t="n"/>
      <c r="E136" s="14" t="n"/>
      <c r="F136" s="48" t="n"/>
      <c r="G136" s="48" t="n"/>
      <c r="H136" s="14" t="n"/>
    </row>
    <row r="137">
      <c r="A137" s="56" t="n"/>
      <c r="B137" s="14" t="n"/>
      <c r="C137" s="14" t="n"/>
      <c r="D137" s="49" t="n"/>
      <c r="E137" s="14" t="n"/>
      <c r="F137" s="48" t="n"/>
      <c r="G137" s="48" t="n"/>
      <c r="H137" s="14" t="n"/>
    </row>
    <row r="138">
      <c r="A138" s="56" t="n"/>
      <c r="B138" s="14" t="n"/>
      <c r="C138" s="14" t="n"/>
      <c r="D138" s="49" t="n"/>
      <c r="E138" s="14" t="n"/>
      <c r="F138" s="48" t="n"/>
      <c r="G138" s="48" t="n"/>
      <c r="H138" s="14" t="n"/>
    </row>
    <row r="139">
      <c r="A139" s="56" t="n"/>
      <c r="B139" s="14" t="n"/>
      <c r="C139" s="14" t="n"/>
      <c r="D139" s="49" t="n"/>
      <c r="E139" s="14" t="n"/>
      <c r="F139" s="48" t="n"/>
      <c r="G139" s="48" t="n"/>
      <c r="H139" s="14" t="n"/>
    </row>
    <row r="140">
      <c r="A140" s="56" t="n"/>
      <c r="B140" s="14" t="n"/>
      <c r="C140" s="14" t="n"/>
      <c r="D140" s="49" t="n"/>
      <c r="E140" s="14" t="n"/>
      <c r="F140" s="48" t="n"/>
      <c r="G140" s="48" t="n"/>
      <c r="H140" s="14" t="n"/>
    </row>
    <row r="141">
      <c r="A141" s="56" t="n"/>
      <c r="B141" s="14" t="n"/>
      <c r="C141" s="14" t="n"/>
      <c r="D141" s="49" t="n"/>
      <c r="E141" s="14" t="n"/>
      <c r="F141" s="48" t="n"/>
      <c r="G141" s="48" t="n"/>
      <c r="H141" s="14" t="n"/>
    </row>
    <row r="142">
      <c r="A142" s="56" t="n"/>
      <c r="B142" s="14" t="n"/>
      <c r="C142" s="14" t="n"/>
      <c r="D142" s="49" t="n"/>
      <c r="E142" s="14" t="n"/>
      <c r="F142" s="48" t="n"/>
      <c r="G142" s="48" t="n"/>
      <c r="H142" s="14" t="n"/>
    </row>
    <row r="143">
      <c r="A143" s="56" t="n"/>
      <c r="B143" s="14" t="n"/>
      <c r="C143" s="14" t="n"/>
      <c r="D143" s="49" t="n"/>
      <c r="E143" s="14" t="n"/>
      <c r="F143" s="48" t="n"/>
      <c r="G143" s="48" t="n"/>
      <c r="H143" s="14" t="n"/>
    </row>
    <row r="144">
      <c r="A144" s="56" t="n"/>
      <c r="B144" s="14" t="n"/>
      <c r="C144" s="14" t="n"/>
      <c r="D144" s="49" t="n"/>
      <c r="E144" s="14" t="n"/>
      <c r="F144" s="48" t="n"/>
      <c r="G144" s="48" t="n"/>
      <c r="H144" s="14" t="n"/>
    </row>
    <row r="145">
      <c r="A145" s="56" t="n"/>
      <c r="B145" s="14" t="n"/>
      <c r="C145" s="14" t="n"/>
      <c r="D145" s="49" t="n"/>
      <c r="E145" s="14" t="n"/>
      <c r="F145" s="48" t="n"/>
      <c r="G145" s="48" t="n"/>
      <c r="H145" s="14" t="n"/>
    </row>
    <row r="146">
      <c r="A146" s="56" t="n"/>
      <c r="B146" s="14" t="n"/>
      <c r="C146" s="14" t="n"/>
      <c r="D146" s="49" t="n"/>
      <c r="E146" s="14" t="n"/>
      <c r="F146" s="48" t="n"/>
      <c r="G146" s="48" t="n"/>
      <c r="H146" s="14" t="n"/>
    </row>
    <row r="147">
      <c r="A147" s="56" t="n"/>
      <c r="B147" s="14" t="n"/>
      <c r="C147" s="14" t="n"/>
      <c r="D147" s="49" t="n"/>
      <c r="E147" s="14" t="n"/>
      <c r="F147" s="48" t="n"/>
      <c r="G147" s="48" t="n"/>
      <c r="H147" s="14" t="n"/>
    </row>
    <row r="148">
      <c r="A148" s="56" t="n"/>
      <c r="B148" s="14" t="n"/>
      <c r="C148" s="14" t="n"/>
      <c r="D148" s="49" t="n"/>
      <c r="E148" s="14" t="n"/>
      <c r="F148" s="48" t="n"/>
      <c r="G148" s="48" t="n"/>
      <c r="H148" s="14" t="n"/>
    </row>
    <row r="149">
      <c r="A149" s="56" t="n"/>
      <c r="B149" s="14" t="n"/>
      <c r="C149" s="14" t="n"/>
      <c r="D149" s="49" t="n"/>
      <c r="E149" s="14" t="n"/>
      <c r="F149" s="48" t="n"/>
      <c r="G149" s="48" t="n"/>
      <c r="H149" s="14" t="n"/>
    </row>
    <row r="150">
      <c r="A150" s="56" t="n"/>
      <c r="B150" s="14" t="n"/>
      <c r="C150" s="14" t="n"/>
      <c r="D150" s="49" t="n"/>
      <c r="E150" s="14" t="n"/>
      <c r="F150" s="48" t="n"/>
      <c r="G150" s="48" t="n"/>
      <c r="H150" s="14" t="n"/>
    </row>
    <row r="151">
      <c r="A151" s="56" t="n"/>
      <c r="B151" s="14" t="n"/>
      <c r="C151" s="14" t="n"/>
      <c r="D151" s="49" t="n"/>
      <c r="E151" s="14" t="n"/>
      <c r="F151" s="48" t="n"/>
      <c r="G151" s="48" t="n"/>
      <c r="H151" s="14" t="n"/>
    </row>
    <row r="152">
      <c r="A152" s="56" t="n"/>
      <c r="B152" s="14" t="n"/>
      <c r="C152" s="14" t="n"/>
      <c r="D152" s="49" t="n"/>
      <c r="E152" s="14" t="n"/>
      <c r="F152" s="48" t="n"/>
      <c r="G152" s="48" t="n"/>
      <c r="H152" s="14" t="n"/>
    </row>
    <row r="153">
      <c r="A153" s="56" t="n"/>
      <c r="B153" s="14" t="n"/>
      <c r="C153" s="14" t="n"/>
      <c r="D153" s="49" t="n"/>
      <c r="E153" s="14" t="n"/>
      <c r="F153" s="48" t="n"/>
      <c r="G153" s="48" t="n"/>
      <c r="H153" s="14" t="n"/>
    </row>
    <row r="154">
      <c r="A154" s="56" t="n"/>
      <c r="B154" s="14" t="n"/>
      <c r="C154" s="14" t="n"/>
      <c r="D154" s="49" t="n"/>
      <c r="E154" s="14" t="n"/>
      <c r="F154" s="48" t="n"/>
      <c r="G154" s="48" t="n"/>
      <c r="H154" s="14" t="n"/>
    </row>
    <row r="155">
      <c r="A155" s="56" t="n"/>
      <c r="B155" s="14" t="n"/>
      <c r="C155" s="14" t="n"/>
      <c r="D155" s="49" t="n"/>
      <c r="E155" s="14" t="n"/>
      <c r="F155" s="48" t="n"/>
      <c r="G155" s="48" t="n"/>
      <c r="H155" s="14" t="n"/>
    </row>
    <row r="156">
      <c r="A156" s="56" t="n"/>
      <c r="B156" s="14" t="n"/>
      <c r="C156" s="14" t="n"/>
      <c r="D156" s="49" t="n"/>
      <c r="E156" s="14" t="n"/>
      <c r="F156" s="48" t="n"/>
      <c r="G156" s="48" t="n"/>
      <c r="H156" s="14" t="n"/>
    </row>
    <row r="157">
      <c r="A157" s="56" t="n"/>
      <c r="B157" s="14" t="n"/>
      <c r="C157" s="14" t="n"/>
      <c r="D157" s="49" t="n"/>
      <c r="E157" s="14" t="n"/>
      <c r="F157" s="48" t="n"/>
      <c r="G157" s="48" t="n"/>
      <c r="H157" s="14" t="n"/>
    </row>
    <row r="158">
      <c r="A158" s="56" t="n"/>
      <c r="B158" s="14" t="n"/>
      <c r="C158" s="14" t="n"/>
      <c r="D158" s="49" t="n"/>
      <c r="E158" s="14" t="n"/>
      <c r="F158" s="48" t="n"/>
      <c r="G158" s="48" t="n"/>
      <c r="H158" s="14" t="n"/>
    </row>
    <row r="159">
      <c r="A159" s="56" t="n"/>
      <c r="B159" s="14" t="n"/>
      <c r="C159" s="14" t="n"/>
      <c r="D159" s="49" t="n"/>
      <c r="E159" s="14" t="n"/>
      <c r="F159" s="48" t="n"/>
      <c r="G159" s="48" t="n"/>
      <c r="H159" s="14" t="n"/>
    </row>
    <row r="160">
      <c r="A160" s="56" t="n"/>
      <c r="B160" s="14" t="n"/>
      <c r="C160" s="14" t="n"/>
      <c r="D160" s="49" t="n"/>
      <c r="E160" s="14" t="n"/>
      <c r="F160" s="48" t="n"/>
      <c r="G160" s="48" t="n"/>
      <c r="H160" s="14" t="n"/>
    </row>
    <row r="161">
      <c r="A161" s="56" t="n"/>
      <c r="B161" s="14" t="n"/>
      <c r="C161" s="14" t="n"/>
      <c r="D161" s="49" t="n"/>
      <c r="E161" s="14" t="n"/>
      <c r="F161" s="48" t="n"/>
      <c r="G161" s="48" t="n"/>
      <c r="H161" s="14" t="n"/>
    </row>
    <row r="162">
      <c r="A162" s="56" t="n"/>
      <c r="B162" s="14" t="n"/>
      <c r="C162" s="14" t="n"/>
      <c r="D162" s="49" t="n"/>
      <c r="E162" s="14" t="n"/>
      <c r="F162" s="48" t="n"/>
      <c r="G162" s="48" t="n"/>
      <c r="H162" s="14" t="n"/>
    </row>
    <row r="163">
      <c r="A163" s="56" t="n"/>
      <c r="B163" s="14" t="n"/>
      <c r="C163" s="14" t="n"/>
      <c r="D163" s="49" t="n"/>
      <c r="E163" s="14" t="n"/>
      <c r="F163" s="48" t="n"/>
      <c r="G163" s="48" t="n"/>
      <c r="H163" s="14" t="n"/>
    </row>
    <row r="164">
      <c r="A164" s="56" t="n"/>
      <c r="B164" s="14" t="n"/>
      <c r="C164" s="14" t="n"/>
      <c r="D164" s="49" t="n"/>
      <c r="E164" s="14" t="n"/>
      <c r="F164" s="48" t="n"/>
      <c r="G164" s="48" t="n"/>
      <c r="H164" s="14" t="n"/>
    </row>
    <row r="165">
      <c r="A165" s="56" t="n"/>
      <c r="B165" s="14" t="n"/>
      <c r="C165" s="14" t="n"/>
      <c r="D165" s="49" t="n"/>
      <c r="E165" s="14" t="n"/>
      <c r="F165" s="48" t="n"/>
      <c r="G165" s="48" t="n"/>
      <c r="H165" s="14" t="n"/>
    </row>
    <row r="166">
      <c r="A166" s="56" t="n"/>
      <c r="B166" s="14" t="n"/>
      <c r="C166" s="14" t="n"/>
      <c r="D166" s="49" t="n"/>
      <c r="E166" s="14" t="n"/>
      <c r="F166" s="48" t="n"/>
      <c r="G166" s="48" t="n"/>
      <c r="H166" s="14" t="n"/>
    </row>
    <row r="167">
      <c r="A167" s="56" t="n"/>
      <c r="B167" s="14" t="n"/>
      <c r="C167" s="14" t="n"/>
      <c r="D167" s="49" t="n"/>
      <c r="E167" s="14" t="n"/>
      <c r="F167" s="48" t="n"/>
      <c r="G167" s="48" t="n"/>
      <c r="H167" s="14" t="n"/>
    </row>
    <row r="168">
      <c r="A168" s="56" t="n"/>
      <c r="B168" s="14" t="n"/>
      <c r="C168" s="14" t="n"/>
      <c r="D168" s="49" t="n"/>
      <c r="E168" s="14" t="n"/>
      <c r="F168" s="48" t="n"/>
      <c r="G168" s="48" t="n"/>
      <c r="H168" s="14" t="n"/>
    </row>
    <row r="169">
      <c r="A169" s="56" t="n"/>
      <c r="B169" s="14" t="n"/>
      <c r="C169" s="14" t="n"/>
      <c r="D169" s="49" t="n"/>
      <c r="E169" s="14" t="n"/>
      <c r="F169" s="48" t="n"/>
      <c r="G169" s="48" t="n"/>
      <c r="H169" s="14" t="n"/>
    </row>
    <row r="170">
      <c r="A170" s="56" t="n"/>
      <c r="B170" s="14" t="n"/>
      <c r="C170" s="14" t="n"/>
      <c r="D170" s="49" t="n"/>
      <c r="E170" s="14" t="n"/>
      <c r="F170" s="48" t="n"/>
      <c r="G170" s="48" t="n"/>
      <c r="H170" s="14" t="n"/>
    </row>
    <row r="171">
      <c r="A171" s="56" t="n"/>
      <c r="B171" s="14" t="n"/>
      <c r="C171" s="14" t="n"/>
      <c r="D171" s="49" t="n"/>
      <c r="E171" s="14" t="n"/>
      <c r="F171" s="48" t="n"/>
      <c r="G171" s="48" t="n"/>
      <c r="H171" s="14" t="n"/>
    </row>
    <row r="172">
      <c r="A172" s="56" t="n"/>
      <c r="B172" s="14" t="n"/>
      <c r="C172" s="14" t="n"/>
      <c r="D172" s="49" t="n"/>
      <c r="E172" s="14" t="n"/>
      <c r="F172" s="48" t="n"/>
      <c r="G172" s="48" t="n"/>
      <c r="H172" s="14" t="n"/>
    </row>
    <row r="173">
      <c r="A173" s="56" t="n"/>
      <c r="B173" s="14" t="n"/>
      <c r="C173" s="14" t="n"/>
      <c r="D173" s="49" t="n"/>
      <c r="E173" s="14" t="n"/>
      <c r="F173" s="48" t="n"/>
      <c r="G173" s="48" t="n"/>
      <c r="H173" s="14" t="n"/>
    </row>
    <row r="174">
      <c r="A174" s="56" t="n"/>
      <c r="B174" s="14" t="n"/>
      <c r="C174" s="14" t="n"/>
      <c r="D174" s="49" t="n"/>
      <c r="E174" s="14" t="n"/>
      <c r="F174" s="48" t="n"/>
      <c r="G174" s="48" t="n"/>
      <c r="H174" s="14" t="n"/>
    </row>
    <row r="175">
      <c r="A175" s="56" t="n"/>
      <c r="B175" s="14" t="n"/>
      <c r="C175" s="14" t="n"/>
      <c r="D175" s="49" t="n"/>
      <c r="E175" s="14" t="n"/>
      <c r="F175" s="48" t="n"/>
      <c r="G175" s="48" t="n"/>
      <c r="H175" s="14" t="n"/>
    </row>
    <row r="176">
      <c r="A176" s="56" t="n"/>
      <c r="B176" s="14" t="n"/>
      <c r="C176" s="14" t="n"/>
      <c r="D176" s="49" t="n"/>
      <c r="E176" s="14" t="n"/>
      <c r="F176" s="48" t="n"/>
      <c r="G176" s="48" t="n"/>
      <c r="H176" s="14" t="n"/>
    </row>
    <row r="177">
      <c r="A177" s="56" t="n"/>
      <c r="B177" s="14" t="n"/>
      <c r="C177" s="14" t="n"/>
      <c r="D177" s="49" t="n"/>
      <c r="E177" s="14" t="n"/>
      <c r="F177" s="48" t="n"/>
      <c r="G177" s="48" t="n"/>
      <c r="H177" s="14" t="n"/>
    </row>
    <row r="178">
      <c r="A178" s="56" t="n"/>
      <c r="B178" s="14" t="n"/>
      <c r="C178" s="14" t="n"/>
      <c r="D178" s="49" t="n"/>
      <c r="E178" s="14" t="n"/>
      <c r="F178" s="48" t="n"/>
      <c r="G178" s="48" t="n"/>
      <c r="H178" s="14" t="n"/>
    </row>
    <row r="179">
      <c r="A179" s="56" t="n"/>
      <c r="B179" s="14" t="n"/>
      <c r="C179" s="14" t="n"/>
      <c r="D179" s="49" t="n"/>
      <c r="E179" s="14" t="n"/>
      <c r="F179" s="48" t="n"/>
      <c r="G179" s="48" t="n"/>
      <c r="H179" s="14" t="n"/>
    </row>
    <row r="180">
      <c r="A180" s="56" t="n"/>
      <c r="B180" s="14" t="n"/>
      <c r="C180" s="14" t="n"/>
      <c r="D180" s="49" t="n"/>
      <c r="E180" s="14" t="n"/>
      <c r="F180" s="48" t="n"/>
      <c r="G180" s="48" t="n"/>
      <c r="H180" s="14" t="n"/>
    </row>
    <row r="181">
      <c r="A181" s="56" t="n"/>
      <c r="B181" s="14" t="n"/>
      <c r="C181" s="14" t="n"/>
      <c r="D181" s="49" t="n"/>
      <c r="E181" s="14" t="n"/>
      <c r="F181" s="48" t="n"/>
      <c r="G181" s="48" t="n"/>
      <c r="H181" s="14" t="n"/>
    </row>
    <row r="182">
      <c r="A182" s="56" t="n"/>
      <c r="B182" s="14" t="n"/>
      <c r="C182" s="14" t="n"/>
      <c r="D182" s="49" t="n"/>
      <c r="E182" s="14" t="n"/>
      <c r="F182" s="48" t="n"/>
      <c r="G182" s="48" t="n"/>
      <c r="H182" s="14" t="n"/>
    </row>
    <row r="183">
      <c r="A183" s="56" t="n"/>
      <c r="B183" s="14" t="n"/>
      <c r="C183" s="14" t="n"/>
      <c r="D183" s="49" t="n"/>
      <c r="E183" s="14" t="n"/>
      <c r="F183" s="48" t="n"/>
      <c r="G183" s="48" t="n"/>
      <c r="H183" s="14" t="n"/>
    </row>
    <row r="184">
      <c r="A184" s="56" t="n"/>
      <c r="B184" s="14" t="n"/>
      <c r="C184" s="14" t="n"/>
      <c r="D184" s="49" t="n"/>
      <c r="E184" s="14" t="n"/>
      <c r="F184" s="48" t="n"/>
      <c r="G184" s="48" t="n"/>
      <c r="H184" s="14" t="n"/>
    </row>
    <row r="185">
      <c r="A185" s="56" t="n"/>
      <c r="B185" s="14" t="n"/>
      <c r="C185" s="14" t="n"/>
      <c r="D185" s="49" t="n"/>
      <c r="E185" s="14" t="n"/>
      <c r="F185" s="48" t="n"/>
      <c r="G185" s="48" t="n"/>
      <c r="H185" s="14" t="n"/>
    </row>
    <row r="186">
      <c r="A186" s="56" t="n"/>
      <c r="B186" s="14" t="n"/>
      <c r="C186" s="14" t="n"/>
      <c r="D186" s="49" t="n"/>
      <c r="E186" s="14" t="n"/>
      <c r="F186" s="48" t="n"/>
      <c r="G186" s="48" t="n"/>
      <c r="H186" s="14" t="n"/>
    </row>
    <row r="187">
      <c r="A187" s="56" t="n"/>
      <c r="B187" s="14" t="n"/>
      <c r="C187" s="14" t="n"/>
      <c r="D187" s="49" t="n"/>
      <c r="E187" s="14" t="n"/>
      <c r="F187" s="48" t="n"/>
      <c r="G187" s="48" t="n"/>
      <c r="H187" s="14" t="n"/>
    </row>
    <row r="188">
      <c r="A188" s="56" t="n"/>
      <c r="B188" s="14" t="n"/>
      <c r="C188" s="14" t="n"/>
      <c r="D188" s="49" t="n"/>
      <c r="E188" s="14" t="n"/>
      <c r="F188" s="48" t="n"/>
      <c r="G188" s="48" t="n"/>
      <c r="H188" s="14" t="n"/>
    </row>
    <row r="189">
      <c r="A189" s="56" t="n"/>
      <c r="B189" s="14" t="n"/>
      <c r="C189" s="14" t="n"/>
      <c r="D189" s="49" t="n"/>
      <c r="E189" s="14" t="n"/>
      <c r="F189" s="48" t="n"/>
      <c r="G189" s="48" t="n"/>
      <c r="H189" s="14" t="n"/>
    </row>
    <row r="190">
      <c r="A190" s="56" t="n"/>
      <c r="B190" s="14" t="n"/>
      <c r="C190" s="14" t="n"/>
      <c r="D190" s="49" t="n"/>
      <c r="E190" s="14" t="n"/>
      <c r="F190" s="48" t="n"/>
      <c r="G190" s="48" t="n"/>
      <c r="H190" s="14" t="n"/>
    </row>
    <row r="191">
      <c r="A191" s="56" t="n"/>
      <c r="B191" s="14" t="n"/>
      <c r="C191" s="14" t="n"/>
      <c r="D191" s="49" t="n"/>
      <c r="E191" s="14" t="n"/>
      <c r="F191" s="48" t="n"/>
      <c r="G191" s="48" t="n"/>
      <c r="H191" s="14" t="n"/>
    </row>
    <row r="192">
      <c r="A192" s="56" t="n"/>
      <c r="B192" s="14" t="n"/>
      <c r="C192" s="14" t="n"/>
      <c r="D192" s="49" t="n"/>
      <c r="E192" s="14" t="n"/>
      <c r="F192" s="48" t="n"/>
      <c r="G192" s="48" t="n"/>
      <c r="H192" s="14" t="n"/>
    </row>
    <row r="193">
      <c r="A193" s="56" t="n"/>
      <c r="B193" s="14" t="n"/>
      <c r="C193" s="14" t="n"/>
      <c r="D193" s="49" t="n"/>
      <c r="E193" s="14" t="n"/>
      <c r="F193" s="48" t="n"/>
      <c r="G193" s="48" t="n"/>
      <c r="H193" s="14" t="n"/>
    </row>
    <row r="194">
      <c r="A194" s="56" t="n"/>
      <c r="B194" s="14" t="n"/>
      <c r="C194" s="14" t="n"/>
      <c r="D194" s="49" t="n"/>
      <c r="E194" s="14" t="n"/>
      <c r="F194" s="48" t="n"/>
      <c r="G194" s="48" t="n"/>
      <c r="H194" s="14" t="n"/>
    </row>
    <row r="195">
      <c r="A195" s="56" t="n"/>
      <c r="B195" s="14" t="n"/>
      <c r="C195" s="14" t="n"/>
      <c r="D195" s="49" t="n"/>
      <c r="E195" s="14" t="n"/>
      <c r="F195" s="48" t="n"/>
      <c r="G195" s="48" t="n"/>
      <c r="H195" s="14" t="n"/>
    </row>
    <row r="196">
      <c r="A196" s="56" t="n"/>
      <c r="B196" s="14" t="n"/>
      <c r="C196" s="14" t="n"/>
      <c r="D196" s="49" t="n"/>
      <c r="E196" s="14" t="n"/>
      <c r="F196" s="48" t="n"/>
      <c r="G196" s="48" t="n"/>
      <c r="H196" s="14" t="n"/>
    </row>
    <row r="197">
      <c r="A197" s="56" t="n"/>
      <c r="B197" s="14" t="n"/>
      <c r="C197" s="14" t="n"/>
      <c r="D197" s="49" t="n"/>
      <c r="E197" s="14" t="n"/>
      <c r="F197" s="48" t="n"/>
      <c r="G197" s="48" t="n"/>
      <c r="H197" s="14" t="n"/>
    </row>
    <row r="198">
      <c r="A198" s="56" t="n"/>
      <c r="B198" s="14" t="n"/>
      <c r="C198" s="14" t="n"/>
      <c r="D198" s="49" t="n"/>
      <c r="E198" s="14" t="n"/>
      <c r="F198" s="48" t="n"/>
      <c r="G198" s="48" t="n"/>
      <c r="H198" s="14" t="n"/>
    </row>
    <row r="199">
      <c r="A199" s="56" t="n"/>
      <c r="B199" s="14" t="n"/>
      <c r="C199" s="14" t="n"/>
      <c r="D199" s="49" t="n"/>
      <c r="E199" s="14" t="n"/>
      <c r="F199" s="48" t="n"/>
      <c r="G199" s="48" t="n"/>
      <c r="H199" s="14" t="n"/>
    </row>
    <row r="200">
      <c r="A200" s="56" t="n"/>
      <c r="B200" s="14" t="n"/>
      <c r="C200" s="14" t="n"/>
      <c r="D200" s="49" t="n"/>
      <c r="E200" s="14" t="n"/>
      <c r="F200" s="48" t="n"/>
      <c r="G200" s="48" t="n"/>
      <c r="H200" s="14" t="n"/>
    </row>
    <row r="201">
      <c r="A201" s="56" t="n"/>
      <c r="B201" s="14" t="n"/>
      <c r="C201" s="14" t="n"/>
      <c r="D201" s="49" t="n"/>
      <c r="E201" s="14" t="n"/>
      <c r="F201" s="48" t="n"/>
      <c r="G201" s="48" t="n"/>
      <c r="H201" s="14" t="n"/>
    </row>
    <row r="202">
      <c r="A202" s="56" t="n"/>
      <c r="B202" s="14" t="n"/>
      <c r="C202" s="14" t="n"/>
      <c r="D202" s="49" t="n"/>
      <c r="E202" s="14" t="n"/>
      <c r="F202" s="48" t="n"/>
      <c r="G202" s="48" t="n"/>
      <c r="H202" s="14" t="n"/>
    </row>
    <row r="203">
      <c r="A203" s="56" t="n"/>
      <c r="B203" s="14" t="n"/>
      <c r="C203" s="14" t="n"/>
      <c r="D203" s="49" t="n"/>
      <c r="E203" s="14" t="n"/>
      <c r="F203" s="48" t="n"/>
      <c r="G203" s="48" t="n"/>
      <c r="H203" s="14" t="n"/>
    </row>
  </sheetData>
  <mergeCells count="1">
    <mergeCell ref="A1:H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F7"/>
  <sheetViews>
    <sheetView showGridLines="0" workbookViewId="0">
      <selection activeCell="A1" sqref="A1"/>
    </sheetView>
  </sheetViews>
  <sheetFormatPr baseColWidth="8" defaultRowHeight="15"/>
  <cols>
    <col width="30" customWidth="1" min="1" max="1"/>
    <col width="15.63000011444092" customWidth="1" min="2" max="2"/>
    <col width="15.63000011444092" customWidth="1" min="3" max="3"/>
    <col width="15.63000011444092" customWidth="1" min="4" max="4"/>
    <col width="11.25" customWidth="1" min="5" max="5"/>
    <col width="28.75" customWidth="1" min="6" max="6"/>
  </cols>
  <sheetData>
    <row r="1" ht="25.5" customHeight="1">
      <c r="A1" s="4" t="inlineStr">
        <is>
          <t>Checks</t>
        </is>
      </c>
    </row>
    <row r="3">
      <c r="A3" s="10" t="inlineStr">
        <is>
          <t>Check</t>
        </is>
      </c>
      <c r="B3" s="10" t="inlineStr">
        <is>
          <t>Actual</t>
        </is>
      </c>
      <c r="C3" s="10" t="inlineStr">
        <is>
          <t>Expected</t>
        </is>
      </c>
      <c r="D3" s="10" t="inlineStr">
        <is>
          <t>Difference</t>
        </is>
      </c>
      <c r="E3" s="10" t="inlineStr">
        <is>
          <t>Status</t>
        </is>
      </c>
      <c r="F3" s="10" t="inlineStr">
        <is>
          <t>Notes</t>
        </is>
      </c>
    </row>
    <row r="4">
      <c r="A4" s="14" t="inlineStr">
        <is>
          <t>ภาษีขายรวมเท่ากับรายรับ x VAT</t>
        </is>
      </c>
      <c r="B4" s="48">
        <f>SUM(Monthly_VAT!C4:C15)</f>
        <v/>
      </c>
      <c r="C4" s="48">
        <f>SUMIFS(Transactions_12M!$I$5:$I$412,Transactions_12M!$B$5:$B$412,"Revenue")</f>
        <v/>
      </c>
      <c r="D4" s="48">
        <f>B4-C4</f>
        <v/>
      </c>
      <c r="E4" s="14">
        <f>IF(ABS(D4)&lt;0.01,"OK","Review")</f>
        <v/>
      </c>
      <c r="F4" s="14" t="inlineStr">
        <is>
          <t>ตรวจ SUMIFS รายเดือน</t>
        </is>
      </c>
    </row>
    <row r="5">
      <c r="A5" s="14" t="inlineStr">
        <is>
          <t>ภาษีซื้อรวมเท่ากับตารางค่าใช้จ่าย</t>
        </is>
      </c>
      <c r="B5" s="48">
        <f>SUM(Monthly_VAT!E4:E15)</f>
        <v/>
      </c>
      <c r="C5" s="48">
        <f>SUMIFS(Transactions_12M!$I$5:$I$412,Transactions_12M!$B$5:$B$412,"Expense",Transactions_12M!$K$5:$K$412,"Yes")</f>
        <v/>
      </c>
      <c r="D5" s="48">
        <f>B5-C5</f>
        <v/>
      </c>
      <c r="E5" s="14">
        <f>IF(ABS(D5)&lt;0.01,"OK","Review")</f>
        <v/>
      </c>
      <c r="F5" s="14" t="inlineStr">
        <is>
          <t>ตรวจ SUMIFS รายเดือน</t>
        </is>
      </c>
    </row>
    <row r="6">
      <c r="A6" s="14" t="inlineStr">
        <is>
          <t>VAT สุทธิ</t>
        </is>
      </c>
      <c r="B6" s="48">
        <f>Monthly_VAT!G17</f>
        <v/>
      </c>
      <c r="C6" s="48">
        <f>SUM(Monthly_VAT!C4:C15)-SUM(Monthly_VAT!E4:E15)</f>
        <v/>
      </c>
      <c r="D6" s="48">
        <f>B6-C6</f>
        <v/>
      </c>
      <c r="E6" s="14">
        <f>IF(ABS(D6)&lt;0.01,"OK","Review")</f>
        <v/>
      </c>
      <c r="F6" s="14" t="inlineStr">
        <is>
          <t>ภาษีขาย - ภาษีซื้อ</t>
        </is>
      </c>
    </row>
    <row r="7">
      <c r="A7" s="14" t="inlineStr">
        <is>
          <t>สถานะรวม</t>
        </is>
      </c>
      <c r="B7" s="48">
        <f>COUNTIF(E4:E6,"OK")</f>
        <v/>
      </c>
      <c r="C7" s="48" t="n">
        <v>3</v>
      </c>
      <c r="D7" s="48">
        <f>B7-C7</f>
        <v/>
      </c>
      <c r="E7" s="14">
        <f>IF(B7=C7,"OK","Review")</f>
        <v/>
      </c>
      <c r="F7" s="14" t="inlineStr">
        <is>
          <t>ควรเป็น OK ทั้งหมด</t>
        </is>
      </c>
    </row>
  </sheetData>
  <mergeCells count="1">
    <mergeCell ref="A1:F1"/>
  </mergeCells>
  <conditionalFormatting sqref="E4:E7">
    <cfRule type="containsText" priority="1" operator="containsText" dxfId="2" text="OK"/>
    <cfRule type="containsText" priority="2" operator="containsText" dxfId="3" text="Review"/>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2026-06-19T06:36:02Z</dcterms:created>
  <dcterms:modified xsi:type="dcterms:W3CDTF">2026-06-20T04:26:58Z</dcterms:modified>
</cp:coreProperties>
</file>